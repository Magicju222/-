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<sst xmlns="http://schemas.openxmlformats.org/spreadsheetml/2006/main" count="116" uniqueCount="115">
  <si>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贵阳公共交通（集团）有限公司运营生产月报（客运量）</t>
  </si>
  <si>
    <t>填报单位：小河分公司</t>
  </si>
  <si>
    <t>单位名称</t>
  </si>
  <si>
    <t>投币客运量</t>
  </si>
  <si>
    <t>刷卡客运量</t>
  </si>
  <si>
    <t>市场客运量</t>
  </si>
  <si>
    <t>总计</t>
  </si>
  <si>
    <t>九折卡客运量</t>
  </si>
  <si>
    <t>银联卡客运量</t>
  </si>
  <si>
    <t>季票客运量</t>
  </si>
  <si>
    <t>减、免卡客运量</t>
  </si>
  <si>
    <t>刷卡累计</t>
  </si>
  <si>
    <t>成人季票</t>
  </si>
  <si>
    <t>学生季票</t>
  </si>
  <si>
    <t>息烽季票</t>
  </si>
  <si>
    <t>小计</t>
  </si>
  <si>
    <t>老年卡</t>
  </si>
  <si>
    <t>残疾人卡</t>
  </si>
  <si>
    <t>退休职工卡</t>
  </si>
  <si>
    <t>职工卡</t>
  </si>
  <si>
    <t>退伍军人A</t>
  </si>
  <si>
    <t>退伍军人B</t>
  </si>
  <si>
    <t>义务监督卡</t>
  </si>
  <si>
    <t>综合卡人次</t>
  </si>
  <si>
    <t>小河分公司合计</t>
  </si>
  <si>
    <t>一车队</t>
  </si>
  <si>
    <t>5路</t>
  </si>
  <si>
    <t>47路</t>
  </si>
  <si>
    <t>52路</t>
  </si>
  <si>
    <t>69路</t>
  </si>
  <si>
    <t>75路</t>
  </si>
  <si>
    <t>202路</t>
  </si>
  <si>
    <t>254路</t>
  </si>
  <si>
    <t>308路</t>
  </si>
  <si>
    <t>325路</t>
  </si>
  <si>
    <t>612路</t>
  </si>
  <si>
    <t>20207路</t>
  </si>
  <si>
    <t>二车队</t>
  </si>
  <si>
    <t>204路</t>
  </si>
  <si>
    <t>207路</t>
  </si>
  <si>
    <t>248路</t>
  </si>
  <si>
    <t>255路</t>
  </si>
  <si>
    <t>806路</t>
  </si>
  <si>
    <t>808路</t>
  </si>
  <si>
    <t>809路</t>
  </si>
  <si>
    <t>B267路</t>
  </si>
  <si>
    <t>10248路</t>
  </si>
  <si>
    <t>三车队</t>
  </si>
  <si>
    <t>9路</t>
  </si>
  <si>
    <t>11路</t>
  </si>
  <si>
    <t>13路</t>
  </si>
  <si>
    <t>43路</t>
  </si>
  <si>
    <t>53路</t>
  </si>
  <si>
    <t>327路</t>
  </si>
  <si>
    <t>609路</t>
  </si>
  <si>
    <t>610路</t>
  </si>
  <si>
    <t>618路</t>
  </si>
  <si>
    <t>619路</t>
  </si>
  <si>
    <t>B247路</t>
  </si>
  <si>
    <t>B292路</t>
  </si>
  <si>
    <t>18292路</t>
  </si>
  <si>
    <t>四车队</t>
  </si>
  <si>
    <t>26路</t>
  </si>
  <si>
    <t>41路</t>
  </si>
  <si>
    <t>42路</t>
  </si>
  <si>
    <t>50路</t>
  </si>
  <si>
    <t>81路</t>
  </si>
  <si>
    <t>82路</t>
  </si>
  <si>
    <t>64路</t>
  </si>
  <si>
    <t>239路</t>
  </si>
  <si>
    <t>250路</t>
  </si>
  <si>
    <t>315路</t>
  </si>
  <si>
    <t>10026路</t>
  </si>
  <si>
    <t>10250路</t>
  </si>
  <si>
    <t>五车队</t>
  </si>
  <si>
    <t>4路</t>
  </si>
  <si>
    <t>22路</t>
  </si>
  <si>
    <t>36路</t>
  </si>
  <si>
    <t>38路</t>
  </si>
  <si>
    <t>61路</t>
  </si>
  <si>
    <t>63路</t>
  </si>
  <si>
    <t>67路</t>
  </si>
  <si>
    <t>242路</t>
  </si>
  <si>
    <t>310路</t>
  </si>
  <si>
    <t>805路</t>
  </si>
  <si>
    <t>六车队</t>
  </si>
  <si>
    <t>8路</t>
  </si>
  <si>
    <t>10路</t>
  </si>
  <si>
    <t>12路</t>
  </si>
  <si>
    <t>16路</t>
  </si>
  <si>
    <t>48路</t>
  </si>
  <si>
    <t>306路</t>
  </si>
  <si>
    <t>603路</t>
  </si>
  <si>
    <t>5203路</t>
  </si>
  <si>
    <t>5204路</t>
  </si>
  <si>
    <t>七车队</t>
  </si>
  <si>
    <t>46路</t>
  </si>
  <si>
    <t>87路</t>
  </si>
  <si>
    <t>229路</t>
  </si>
  <si>
    <t>258路</t>
  </si>
  <si>
    <t>600路</t>
  </si>
  <si>
    <t>803路</t>
  </si>
  <si>
    <t>804路</t>
  </si>
  <si>
    <t>5409路</t>
  </si>
  <si>
    <t>B262路</t>
  </si>
  <si>
    <t>9009路</t>
  </si>
  <si>
    <t>9011路</t>
  </si>
  <si>
    <t>4620路</t>
  </si>
  <si>
    <t>4103路</t>
  </si>
  <si>
    <t>4637路</t>
  </si>
  <si>
    <t>4635路</t>
  </si>
  <si>
    <t>5425路</t>
  </si>
  <si>
    <r>
      <t>B</t>
    </r>
    <r>
      <rPr>
        <sz val="11"/>
        <rFont val="宋体"/>
        <charset val="134"/>
      </rPr>
      <t>9路</t>
    </r>
  </si>
  <si>
    <t>备注：XXXXXXXXX</t>
  </si>
  <si>
    <t>制表人：XXX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</si>
</sst>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$-F800]dddd\,\ mmmm\ dd\,\ yyyy"/>
    <numFmt numFmtId="178" formatCode="yyyy&quot;年&quot;m&quot;月&quot;d&quot;日&quot;;@"/>
    <numFmt numFmtId="179" formatCode="0.00_ "/>
  </numFmts>
  <fonts count="36">
    <font>
      <sz val="11"/>
      <color theme="1"/>
      <name val="宋体"/>
      <charset val="134"/>
      <scheme val="minor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仿宋_GB2312"/>
      <family val="3"/>
      <charset val="134"/>
    </font>
    <font>
      <sz val="11"/>
      <name val="仿宋_GB2312"/>
      <family val="3"/>
      <charset val="134"/>
    </font>
    <font>
      <b/>
      <sz val="12"/>
      <color indexed="10"/>
      <name val="宋体"/>
      <charset val="134"/>
    </font>
    <font>
      <sz val="12"/>
      <name val="宋体"/>
      <charset val="134"/>
    </font>
    <font>
      <sz val="12"/>
      <color indexed="1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0"/>
      <color indexed="10"/>
      <name val="宋体"/>
      <charset val="134"/>
    </font>
    <font>
      <sz val="11"/>
      <name val="宋体"/>
      <charset val="134"/>
    </font>
    <font>
      <sz val="11"/>
      <color indexed="8"/>
      <name val="仿宋_GB2312"/>
      <family val="3"/>
      <charset val="134"/>
    </font>
    <font>
      <b/>
      <sz val="11"/>
      <name val="宋体"/>
      <charset val="134"/>
    </font>
    <font>
      <b/>
      <sz val="11"/>
      <color indexed="1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5" borderId="21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2">
      <alignment vertical="center"/>
    </xf>
    <xf numFmtId="0" fontId="23" fillId="0" borderId="22">
      <alignment vertical="center"/>
    </xf>
    <xf numFmtId="0" fontId="24" fillId="0" borderId="23">
      <alignment vertical="center"/>
    </xf>
    <xf numFmtId="0" fontId="24" fillId="0" borderId="0">
      <alignment vertical="center"/>
    </xf>
    <xf numFmtId="0" fontId="25" fillId="6" borderId="24">
      <alignment vertical="center"/>
    </xf>
    <xf numFmtId="0" fontId="26" fillId="7" borderId="25">
      <alignment vertical="center"/>
    </xf>
    <xf numFmtId="0" fontId="27" fillId="7" borderId="24">
      <alignment vertical="center"/>
    </xf>
    <xf numFmtId="0" fontId="28" fillId="8" borderId="26">
      <alignment vertical="center"/>
    </xf>
    <xf numFmtId="0" fontId="29" fillId="0" borderId="27">
      <alignment vertical="center"/>
    </xf>
    <xf numFmtId="0" fontId="30" fillId="0" borderId="28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  <xf numFmtId="0" fontId="7" fillId="0" borderId="0"/>
    <xf numFmtId="0" fontId="7" fillId="0" borderId="0"/>
    <xf numFmtId="0" fontId="7" fillId="0" borderId="0">
      <protection locked="0"/>
    </xf>
  </cellStyleXfs>
  <cellXfs count="7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 wrapText="1"/>
    </xf>
    <xf numFmtId="176" fontId="10" fillId="0" borderId="8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176" fontId="9" fillId="0" borderId="11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15" xfId="0" applyNumberFormat="1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176" fontId="9" fillId="0" borderId="18" xfId="0" applyNumberFormat="1" applyFont="1" applyFill="1" applyBorder="1" applyAlignment="1">
      <alignment horizontal="center" vertical="center"/>
    </xf>
    <xf numFmtId="176" fontId="10" fillId="0" borderId="12" xfId="0" applyNumberFormat="1" applyFont="1" applyFill="1" applyBorder="1" applyAlignment="1">
      <alignment horizontal="center" vertical="center"/>
    </xf>
    <xf numFmtId="176" fontId="9" fillId="0" borderId="10" xfId="0" applyNumberFormat="1" applyFont="1" applyFill="1" applyBorder="1" applyAlignment="1">
      <alignment horizontal="center" vertical="center" wrapText="1"/>
    </xf>
    <xf numFmtId="176" fontId="10" fillId="0" borderId="19" xfId="0" applyNumberFormat="1" applyFont="1" applyFill="1" applyBorder="1" applyAlignment="1">
      <alignment horizontal="center" vertical="center" wrapText="1"/>
    </xf>
    <xf numFmtId="176" fontId="9" fillId="0" borderId="20" xfId="0" applyNumberFormat="1" applyFont="1" applyFill="1" applyBorder="1" applyAlignment="1">
      <alignment horizontal="center" vertical="center" wrapText="1"/>
    </xf>
    <xf numFmtId="176" fontId="9" fillId="0" borderId="10" xfId="0" applyNumberFormat="1" applyFont="1" applyFill="1" applyBorder="1" applyAlignment="1">
      <alignment horizontal="center" vertical="center"/>
    </xf>
    <xf numFmtId="176" fontId="10" fillId="0" borderId="10" xfId="0" applyNumberFormat="1" applyFont="1" applyFill="1" applyBorder="1" applyAlignment="1">
      <alignment horizontal="center" vertical="center"/>
    </xf>
    <xf numFmtId="176" fontId="10" fillId="0" borderId="20" xfId="0" applyNumberFormat="1" applyFont="1" applyFill="1" applyBorder="1" applyAlignment="1">
      <alignment horizontal="center" vertical="center"/>
    </xf>
    <xf numFmtId="0" fontId="11" fillId="0" borderId="9" xfId="49" applyFont="1" applyFill="1" applyBorder="1" applyAlignment="1">
      <alignment horizontal="center" vertical="center" shrinkToFit="1"/>
    </xf>
    <xf numFmtId="0" fontId="11" fillId="0" borderId="10" xfId="49" applyFont="1" applyFill="1" applyBorder="1" applyAlignment="1">
      <alignment horizontal="center" vertical="center" shrinkToFit="1"/>
    </xf>
    <xf numFmtId="179" fontId="11" fillId="0" borderId="10" xfId="49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49" fontId="5" fillId="0" borderId="10" xfId="50" applyNumberFormat="1" applyFont="1" applyFill="1" applyBorder="1" applyAlignment="1" applyProtection="1">
      <alignment vertical="center"/>
    </xf>
    <xf numFmtId="0" fontId="12" fillId="0" borderId="10" xfId="0" applyFont="1" applyFill="1" applyBorder="1" applyAlignment="1"/>
    <xf numFmtId="179" fontId="10" fillId="0" borderId="10" xfId="0" applyNumberFormat="1" applyFont="1" applyFill="1" applyBorder="1" applyAlignment="1">
      <alignment horizontal="center"/>
    </xf>
    <xf numFmtId="179" fontId="10" fillId="0" borderId="10" xfId="0" applyNumberFormat="1" applyFont="1" applyFill="1" applyBorder="1" applyAlignment="1"/>
    <xf numFmtId="179" fontId="10" fillId="0" borderId="19" xfId="0" applyNumberFormat="1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0" fillId="0" borderId="20" xfId="0" applyFont="1" applyFill="1" applyBorder="1" applyAlignment="1">
      <alignment horizontal="center" vertical="center"/>
    </xf>
    <xf numFmtId="0" fontId="5" fillId="0" borderId="10" xfId="50" applyNumberFormat="1" applyFont="1" applyFill="1" applyBorder="1" applyAlignment="1" applyProtection="1">
      <alignment vertical="center"/>
    </xf>
    <xf numFmtId="0" fontId="14" fillId="2" borderId="10" xfId="0" applyFont="1" applyFill="1" applyBorder="1" applyAlignment="1"/>
    <xf numFmtId="179" fontId="15" fillId="2" borderId="10" xfId="0" applyNumberFormat="1" applyFont="1" applyFill="1" applyBorder="1" applyAlignment="1">
      <alignment horizontal="center"/>
    </xf>
    <xf numFmtId="179" fontId="15" fillId="2" borderId="10" xfId="0" applyNumberFormat="1" applyFont="1" applyFill="1" applyBorder="1" applyAlignment="1"/>
    <xf numFmtId="0" fontId="16" fillId="3" borderId="13" xfId="0" applyFont="1" applyFill="1" applyBorder="1" applyAlignment="1">
      <alignment vertical="center" wrapText="1"/>
    </xf>
    <xf numFmtId="0" fontId="13" fillId="0" borderId="10" xfId="51" applyNumberFormat="1" applyFont="1" applyFill="1" applyBorder="1" applyAlignment="1" applyProtection="1">
      <alignment vertical="center"/>
    </xf>
    <xf numFmtId="0" fontId="14" fillId="0" borderId="10" xfId="0" applyFont="1" applyFill="1" applyBorder="1" applyAlignment="1"/>
    <xf numFmtId="0" fontId="7" fillId="0" borderId="10" xfId="0" applyFont="1" applyFill="1" applyBorder="1" applyAlignment="1"/>
    <xf numFmtId="0" fontId="0" fillId="0" borderId="10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14" fillId="2" borderId="12" xfId="0" applyFont="1" applyFill="1" applyBorder="1" applyAlignment="1"/>
    <xf numFmtId="179" fontId="15" fillId="2" borderId="12" xfId="0" applyNumberFormat="1" applyFont="1" applyFill="1" applyBorder="1" applyAlignment="1">
      <alignment horizontal="center"/>
    </xf>
    <xf numFmtId="179" fontId="15" fillId="2" borderId="12" xfId="0" applyNumberFormat="1" applyFont="1" applyFill="1" applyBorder="1" applyAlignment="1"/>
    <xf numFmtId="0" fontId="12" fillId="0" borderId="10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12" fillId="0" borderId="10" xfId="0" applyFont="1" applyFill="1" applyBorder="1" applyAlignment="1">
      <alignment horizontal="left" vertical="center"/>
    </xf>
    <xf numFmtId="0" fontId="8" fillId="0" borderId="0" xfId="0" applyFont="1" applyFill="1" applyBorder="1" applyAlignment="1"/>
    <xf numFmtId="0" fontId="14" fillId="0" borderId="0" xfId="0" applyFont="1" applyFill="1" applyBorder="1" applyAlignment="1"/>
    <xf numFmtId="179" fontId="7" fillId="0" borderId="0" xfId="0" applyNumberFormat="1" applyFont="1" applyFill="1" applyBorder="1" applyAlignment="1"/>
    <xf numFmtId="179" fontId="8" fillId="0" borderId="0" xfId="0" applyNumberFormat="1" applyFont="1" applyFill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208yrb" xfId="49"/>
    <cellStyle name="常规_总公司2010年9月行车计划" xfId="50"/>
    <cellStyle name="常规_总公司2010年9月行车计划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464;&#34913;&#25991;&#26723;\GJ\25-4\2025&#24180;4&#26376;&#21335;&#37096;&#20998;&#20844;&#21496;&#26085;&#25253;(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班次公里"/>
      <sheetName val="1收入"/>
      <sheetName val="1客"/>
      <sheetName val="2班次公里"/>
      <sheetName val="2收入"/>
      <sheetName val="2客 "/>
      <sheetName val="3班次公里"/>
      <sheetName val="3收入"/>
      <sheetName val="3客"/>
      <sheetName val="4班次公里"/>
      <sheetName val="4收入"/>
      <sheetName val="4客"/>
      <sheetName val="5班次公里"/>
      <sheetName val="5收入"/>
      <sheetName val="5客"/>
      <sheetName val="6班次公里"/>
      <sheetName val="6收入"/>
      <sheetName val="6客"/>
      <sheetName val="7班次公里"/>
      <sheetName val="7收入"/>
      <sheetName val="7客"/>
      <sheetName val="8班次公里"/>
      <sheetName val="8收入"/>
      <sheetName val="8客"/>
      <sheetName val="9班次公里"/>
      <sheetName val="9收入"/>
      <sheetName val="9客"/>
      <sheetName val="10班次公里"/>
      <sheetName val="10收入"/>
      <sheetName val="10客"/>
      <sheetName val="一旬 (1-10)"/>
      <sheetName val="11班次公里"/>
      <sheetName val="11收入"/>
      <sheetName val="11客"/>
      <sheetName val="12班次公里"/>
      <sheetName val="12收入"/>
      <sheetName val="12客"/>
      <sheetName val="13班次公里"/>
      <sheetName val="13收入"/>
      <sheetName val="13客"/>
      <sheetName val="14班次公里"/>
      <sheetName val="14收入"/>
      <sheetName val="14客"/>
      <sheetName val="15班次公里"/>
      <sheetName val="15收入"/>
      <sheetName val="15客"/>
      <sheetName val="16班次公里"/>
      <sheetName val="16收入"/>
      <sheetName val="16客"/>
      <sheetName val="17班次公里"/>
      <sheetName val="17收入"/>
      <sheetName val="17客"/>
      <sheetName val="18班次公里"/>
      <sheetName val="18收入"/>
      <sheetName val="18客"/>
      <sheetName val="19班次公里"/>
      <sheetName val="19收入"/>
      <sheetName val="19客 "/>
      <sheetName val="20班次公里"/>
      <sheetName val="20收入"/>
      <sheetName val="20客 "/>
      <sheetName val="二旬 (1-20) "/>
      <sheetName val="二旬 (1-20)"/>
      <sheetName val="21班次公里"/>
      <sheetName val="21收入"/>
      <sheetName val="21客"/>
      <sheetName val="22班次公里"/>
      <sheetName val="22收入"/>
      <sheetName val="22客"/>
      <sheetName val="23班次公里"/>
      <sheetName val="23收入"/>
      <sheetName val="23客"/>
      <sheetName val="24班次公里"/>
      <sheetName val="24收入"/>
      <sheetName val="24客"/>
      <sheetName val="25班次公里"/>
      <sheetName val="25收入"/>
      <sheetName val="25客 "/>
      <sheetName val="26班次公里"/>
      <sheetName val="26收入"/>
      <sheetName val="26客"/>
      <sheetName val="27班次公里"/>
      <sheetName val="27收入"/>
      <sheetName val="27客"/>
      <sheetName val="28班次公里"/>
      <sheetName val="28收入"/>
      <sheetName val="28客"/>
      <sheetName val="29班次公里"/>
      <sheetName val="29收入"/>
      <sheetName val="29客 "/>
      <sheetName val="30班次公里"/>
      <sheetName val="30收入"/>
      <sheetName val="30客"/>
      <sheetName val="31班次公里"/>
      <sheetName val="31收入"/>
      <sheetName val="31客"/>
      <sheetName val="月分析表"/>
      <sheetName val="月客运总量"/>
      <sheetName val="分公司合计"/>
      <sheetName val="公益合计"/>
      <sheetName val="市场合计"/>
      <sheetName val="计划"/>
      <sheetName val="附表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9">
          <cell r="A9" t="str">
            <v>5路</v>
          </cell>
        </row>
        <row r="9">
          <cell r="C9">
            <v>12</v>
          </cell>
          <cell r="D9">
            <v>6.19418742906913</v>
          </cell>
          <cell r="E9">
            <v>5.250951</v>
          </cell>
          <cell r="F9">
            <v>4.903612</v>
          </cell>
          <cell r="G9">
            <v>0.347339</v>
          </cell>
          <cell r="H9">
            <v>-0.943236429069129</v>
          </cell>
          <cell r="I9">
            <v>84.7722330027898</v>
          </cell>
          <cell r="J9">
            <v>2029</v>
          </cell>
          <cell r="K9">
            <v>2025</v>
          </cell>
          <cell r="L9">
            <v>-4</v>
          </cell>
          <cell r="M9">
            <v>99.8028585510104</v>
          </cell>
          <cell r="N9">
            <v>25.9201366740504</v>
          </cell>
          <cell r="O9">
            <v>24.1438</v>
          </cell>
          <cell r="P9">
            <v>-1.77633667405036</v>
          </cell>
          <cell r="Q9">
            <v>93.1468853872645</v>
          </cell>
          <cell r="R9">
            <v>31.3530160571814</v>
          </cell>
          <cell r="S9">
            <v>26.2079098963233</v>
          </cell>
          <cell r="T9">
            <v>262079.098963233</v>
          </cell>
          <cell r="U9">
            <v>3.593</v>
          </cell>
          <cell r="V9">
            <v>35930</v>
          </cell>
          <cell r="W9">
            <v>22.21515</v>
          </cell>
          <cell r="X9">
            <v>222151.5</v>
          </cell>
          <cell r="Y9">
            <v>0.0816</v>
          </cell>
          <cell r="Z9">
            <v>816</v>
          </cell>
          <cell r="AA9">
            <v>0.00054</v>
          </cell>
          <cell r="AB9">
            <v>5.4</v>
          </cell>
          <cell r="AC9">
            <v>0.2088243</v>
          </cell>
          <cell r="AD9">
            <v>2088.243</v>
          </cell>
          <cell r="AE9">
            <v>0</v>
          </cell>
          <cell r="AF9">
            <v>0</v>
          </cell>
          <cell r="AG9">
            <v>0.00474</v>
          </cell>
          <cell r="AH9">
            <v>47.4</v>
          </cell>
          <cell r="AI9">
            <v>0.10405559632331</v>
          </cell>
          <cell r="AJ9">
            <v>1040.5559632331</v>
          </cell>
          <cell r="AK9">
            <v>21839.9249136028</v>
          </cell>
          <cell r="AL9">
            <v>-5.14510616085814</v>
          </cell>
          <cell r="AM9">
            <v>83.589756878654</v>
          </cell>
          <cell r="AN9">
            <v>506.168345989059</v>
          </cell>
          <cell r="AO9">
            <v>499.107873913188</v>
          </cell>
          <cell r="AP9">
            <v>-7.0604720758709</v>
          </cell>
          <cell r="AQ9">
            <v>98.6051138654128</v>
          </cell>
          <cell r="AR9">
            <v>305</v>
          </cell>
          <cell r="AS9">
            <v>1040.5559632331</v>
          </cell>
          <cell r="AT9">
            <v>0</v>
          </cell>
          <cell r="AU9">
            <v>0</v>
          </cell>
        </row>
        <row r="10">
          <cell r="A10" t="str">
            <v>47路</v>
          </cell>
        </row>
        <row r="10">
          <cell r="C10">
            <v>11</v>
          </cell>
          <cell r="D10">
            <v>6.07391604818311</v>
          </cell>
          <cell r="E10">
            <v>5.038166</v>
          </cell>
          <cell r="F10">
            <v>5.008875</v>
          </cell>
          <cell r="G10">
            <v>0.029291</v>
          </cell>
          <cell r="H10">
            <v>-1.03575004818311</v>
          </cell>
          <cell r="I10">
            <v>82.9475738557017</v>
          </cell>
          <cell r="J10">
            <v>1043</v>
          </cell>
          <cell r="K10">
            <v>1057.5</v>
          </cell>
          <cell r="L10">
            <v>14.5</v>
          </cell>
          <cell r="M10">
            <v>101.390220517737</v>
          </cell>
          <cell r="N10">
            <v>21.4136314290675</v>
          </cell>
          <cell r="O10">
            <v>19.6165</v>
          </cell>
          <cell r="P10">
            <v>-1.79713142906752</v>
          </cell>
          <cell r="Q10">
            <v>91.6075354382534</v>
          </cell>
          <cell r="R10">
            <v>26.1107956216723</v>
          </cell>
          <cell r="S10">
            <v>24.7633732</v>
          </cell>
          <cell r="T10">
            <v>247633.732</v>
          </cell>
          <cell r="U10">
            <v>4.0964</v>
          </cell>
          <cell r="V10">
            <v>40964</v>
          </cell>
          <cell r="W10">
            <v>20.286495</v>
          </cell>
          <cell r="X10">
            <v>202864.95</v>
          </cell>
          <cell r="Y10">
            <v>0.0478</v>
          </cell>
          <cell r="Z10">
            <v>478</v>
          </cell>
          <cell r="AA10">
            <v>0</v>
          </cell>
          <cell r="AB10">
            <v>0</v>
          </cell>
          <cell r="AC10">
            <v>0.2375622</v>
          </cell>
          <cell r="AD10">
            <v>2375.622</v>
          </cell>
          <cell r="AE10">
            <v>0</v>
          </cell>
          <cell r="AF10">
            <v>0</v>
          </cell>
          <cell r="AG10">
            <v>0.00162</v>
          </cell>
          <cell r="AH10">
            <v>16.2</v>
          </cell>
          <cell r="AI10">
            <v>0.093496</v>
          </cell>
          <cell r="AJ10">
            <v>934.96</v>
          </cell>
          <cell r="AK10">
            <v>22512.1574545455</v>
          </cell>
          <cell r="AL10">
            <v>-1.34742242167233</v>
          </cell>
          <cell r="AM10">
            <v>94.8395964596577</v>
          </cell>
          <cell r="AN10">
            <v>429.884038806938</v>
          </cell>
          <cell r="AO10">
            <v>491.51562691662</v>
          </cell>
          <cell r="AP10">
            <v>61.6315881096817</v>
          </cell>
          <cell r="AQ10">
            <v>114.336793773672</v>
          </cell>
          <cell r="AR10">
            <v>63</v>
          </cell>
          <cell r="AS10">
            <v>934.96</v>
          </cell>
          <cell r="AT10">
            <v>0</v>
          </cell>
          <cell r="AU10">
            <v>0</v>
          </cell>
        </row>
        <row r="11">
          <cell r="A11" t="str">
            <v>52路</v>
          </cell>
        </row>
        <row r="11">
          <cell r="C11">
            <v>12</v>
          </cell>
          <cell r="D11">
            <v>4.2921084390818</v>
          </cell>
          <cell r="E11">
            <v>4.154794</v>
          </cell>
          <cell r="F11">
            <v>4.011432</v>
          </cell>
          <cell r="G11">
            <v>0.143362</v>
          </cell>
          <cell r="H11">
            <v>-0.1373144390818</v>
          </cell>
          <cell r="I11">
            <v>96.8007695744245</v>
          </cell>
          <cell r="J11">
            <v>2140</v>
          </cell>
          <cell r="K11">
            <v>2175</v>
          </cell>
          <cell r="L11">
            <v>35</v>
          </cell>
          <cell r="M11">
            <v>101.635514018692</v>
          </cell>
          <cell r="N11">
            <v>19.164993734846</v>
          </cell>
          <cell r="O11">
            <v>16.7429</v>
          </cell>
          <cell r="P11">
            <v>-2.42209373484599</v>
          </cell>
          <cell r="Q11">
            <v>87.3618861119578</v>
          </cell>
          <cell r="R11">
            <v>18.4807370235659</v>
          </cell>
          <cell r="S11">
            <v>17.0480569825559</v>
          </cell>
          <cell r="T11">
            <v>170480.569825559</v>
          </cell>
          <cell r="U11">
            <v>1.7562</v>
          </cell>
          <cell r="V11">
            <v>17562</v>
          </cell>
          <cell r="W11">
            <v>12.472805</v>
          </cell>
          <cell r="X11">
            <v>124728.05</v>
          </cell>
          <cell r="Y11">
            <v>0.0434</v>
          </cell>
          <cell r="Z11">
            <v>434</v>
          </cell>
          <cell r="AA11">
            <v>0.00012</v>
          </cell>
          <cell r="AB11">
            <v>1.2</v>
          </cell>
          <cell r="AC11">
            <v>0.0673992</v>
          </cell>
          <cell r="AD11">
            <v>673.992</v>
          </cell>
          <cell r="AE11">
            <v>0</v>
          </cell>
          <cell r="AF11">
            <v>0</v>
          </cell>
          <cell r="AG11">
            <v>0.0018</v>
          </cell>
          <cell r="AH11">
            <v>18</v>
          </cell>
          <cell r="AI11">
            <v>2.70633278255592</v>
          </cell>
          <cell r="AJ11">
            <v>27063.3278255592</v>
          </cell>
          <cell r="AK11">
            <v>14206.7141521299</v>
          </cell>
          <cell r="AL11">
            <v>-1.43268004101</v>
          </cell>
          <cell r="AM11">
            <v>92.2477115540192</v>
          </cell>
          <cell r="AN11">
            <v>430.574792922041</v>
          </cell>
          <cell r="AO11">
            <v>410.322557088412</v>
          </cell>
          <cell r="AP11">
            <v>-20.2522358336293</v>
          </cell>
          <cell r="AQ11">
            <v>95.2964650586742</v>
          </cell>
          <cell r="AR11">
            <v>7746</v>
          </cell>
          <cell r="AS11">
            <v>27063.3278255592</v>
          </cell>
          <cell r="AT11">
            <v>0</v>
          </cell>
          <cell r="AU11">
            <v>0</v>
          </cell>
        </row>
        <row r="12">
          <cell r="A12" t="str">
            <v>69路</v>
          </cell>
        </row>
        <row r="12">
          <cell r="C12">
            <v>13</v>
          </cell>
          <cell r="D12">
            <v>4.94719342586396</v>
          </cell>
          <cell r="E12">
            <v>5.166491</v>
          </cell>
          <cell r="F12">
            <v>5.150247</v>
          </cell>
          <cell r="G12">
            <v>0.016244</v>
          </cell>
          <cell r="H12">
            <v>0.219297574136041</v>
          </cell>
          <cell r="I12">
            <v>104.432767334092</v>
          </cell>
          <cell r="J12">
            <v>1735</v>
          </cell>
          <cell r="K12">
            <v>1731</v>
          </cell>
          <cell r="L12">
            <v>-4</v>
          </cell>
          <cell r="M12">
            <v>99.7694524495677</v>
          </cell>
          <cell r="N12">
            <v>15.4966427880068</v>
          </cell>
          <cell r="O12">
            <v>13.645</v>
          </cell>
          <cell r="P12">
            <v>-1.85164278800684</v>
          </cell>
          <cell r="Q12">
            <v>88.0513294825388</v>
          </cell>
          <cell r="R12">
            <v>18.6766112298842</v>
          </cell>
          <cell r="S12">
            <v>17.1659132</v>
          </cell>
          <cell r="T12">
            <v>171659.132</v>
          </cell>
          <cell r="U12">
            <v>2.2647</v>
          </cell>
          <cell r="V12">
            <v>22647</v>
          </cell>
          <cell r="W12">
            <v>14.703985</v>
          </cell>
          <cell r="X12">
            <v>147039.85</v>
          </cell>
          <cell r="Y12">
            <v>0.0448</v>
          </cell>
          <cell r="Z12">
            <v>448</v>
          </cell>
          <cell r="AA12">
            <v>0.00018</v>
          </cell>
          <cell r="AB12">
            <v>1.8</v>
          </cell>
          <cell r="AC12">
            <v>0.1516482</v>
          </cell>
          <cell r="AD12">
            <v>1516.482</v>
          </cell>
          <cell r="AE12">
            <v>0</v>
          </cell>
          <cell r="AF12">
            <v>0</v>
          </cell>
          <cell r="AG12">
            <v>0.0006</v>
          </cell>
          <cell r="AH12">
            <v>6</v>
          </cell>
          <cell r="AI12">
            <v>0</v>
          </cell>
          <cell r="AJ12">
            <v>0</v>
          </cell>
          <cell r="AK12">
            <v>13204.5486153846</v>
          </cell>
          <cell r="AL12">
            <v>-1.51069802988422</v>
          </cell>
          <cell r="AM12">
            <v>91.9112840584968</v>
          </cell>
          <cell r="AN12">
            <v>377.519325042817</v>
          </cell>
          <cell r="AO12">
            <v>332.254777952773</v>
          </cell>
          <cell r="AP12">
            <v>-45.2645470900438</v>
          </cell>
          <cell r="AQ12">
            <v>88.0100052931303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A13" t="str">
            <v>75路</v>
          </cell>
        </row>
        <row r="13">
          <cell r="C13">
            <v>11</v>
          </cell>
          <cell r="D13">
            <v>4.75526480558403</v>
          </cell>
          <cell r="E13">
            <v>4.539421</v>
          </cell>
          <cell r="F13">
            <v>4.46247</v>
          </cell>
          <cell r="G13">
            <v>0.076951</v>
          </cell>
          <cell r="H13">
            <v>-0.21584380558403</v>
          </cell>
          <cell r="I13">
            <v>95.4609508742695</v>
          </cell>
          <cell r="J13">
            <v>1668</v>
          </cell>
          <cell r="K13">
            <v>1752.5</v>
          </cell>
          <cell r="L13">
            <v>84.5</v>
          </cell>
          <cell r="M13">
            <v>105.065947242206</v>
          </cell>
          <cell r="N13">
            <v>20.5551863760423</v>
          </cell>
          <cell r="O13">
            <v>16.3444</v>
          </cell>
          <cell r="P13">
            <v>-4.21078637604227</v>
          </cell>
          <cell r="Q13">
            <v>79.5147253884787</v>
          </cell>
          <cell r="R13">
            <v>22.2232780320463</v>
          </cell>
          <cell r="S13">
            <v>19.2340834108837</v>
          </cell>
          <cell r="T13">
            <v>192340.834108837</v>
          </cell>
          <cell r="U13">
            <v>2.1594</v>
          </cell>
          <cell r="V13">
            <v>21594</v>
          </cell>
          <cell r="W13">
            <v>16.363605</v>
          </cell>
          <cell r="X13">
            <v>163636.05</v>
          </cell>
          <cell r="Y13">
            <v>0.0432</v>
          </cell>
          <cell r="Z13">
            <v>432</v>
          </cell>
          <cell r="AA13">
            <v>0.00018</v>
          </cell>
          <cell r="AB13">
            <v>1.8</v>
          </cell>
          <cell r="AC13">
            <v>0.082251</v>
          </cell>
          <cell r="AD13">
            <v>822.51</v>
          </cell>
          <cell r="AE13">
            <v>0</v>
          </cell>
          <cell r="AF13">
            <v>0</v>
          </cell>
          <cell r="AG13">
            <v>0.0048</v>
          </cell>
          <cell r="AH13">
            <v>48</v>
          </cell>
          <cell r="AI13">
            <v>0.580647410883683</v>
          </cell>
          <cell r="AJ13">
            <v>5806.47410883683</v>
          </cell>
          <cell r="AK13">
            <v>17485.5303735306</v>
          </cell>
          <cell r="AL13">
            <v>-2.98919462116261</v>
          </cell>
          <cell r="AM13">
            <v>86.5492632686675</v>
          </cell>
          <cell r="AN13">
            <v>467.340493971016</v>
          </cell>
          <cell r="AO13">
            <v>423.712262222069</v>
          </cell>
          <cell r="AP13">
            <v>-43.6282317489469</v>
          </cell>
          <cell r="AQ13">
            <v>90.664572766157</v>
          </cell>
          <cell r="AR13">
            <v>1813</v>
          </cell>
          <cell r="AS13">
            <v>4906.47410883683</v>
          </cell>
          <cell r="AT13">
            <v>30</v>
          </cell>
          <cell r="AU13">
            <v>900</v>
          </cell>
        </row>
        <row r="14">
          <cell r="A14" t="str">
            <v>202路</v>
          </cell>
        </row>
        <row r="14">
          <cell r="C14">
            <v>9</v>
          </cell>
          <cell r="D14">
            <v>4.44425580218762</v>
          </cell>
          <cell r="E14">
            <v>3.522628</v>
          </cell>
          <cell r="F14">
            <v>3.522628</v>
          </cell>
          <cell r="G14">
            <v>0</v>
          </cell>
          <cell r="H14">
            <v>-0.92162780218762</v>
          </cell>
          <cell r="I14">
            <v>79.2624942575546</v>
          </cell>
          <cell r="J14">
            <v>1492</v>
          </cell>
          <cell r="K14">
            <v>1485</v>
          </cell>
          <cell r="L14">
            <v>-7</v>
          </cell>
          <cell r="M14">
            <v>99.5308310991957</v>
          </cell>
          <cell r="N14">
            <v>31.3230814921575</v>
          </cell>
          <cell r="O14">
            <v>12.0742</v>
          </cell>
          <cell r="P14">
            <v>-19.2488814921575</v>
          </cell>
          <cell r="Q14">
            <v>38.5472930018813</v>
          </cell>
          <cell r="R14">
            <v>18.079158827717</v>
          </cell>
          <cell r="S14">
            <v>14.284412</v>
          </cell>
          <cell r="T14">
            <v>142844.12</v>
          </cell>
          <cell r="U14">
            <v>1.868</v>
          </cell>
          <cell r="V14">
            <v>18680</v>
          </cell>
          <cell r="W14">
            <v>12.268505</v>
          </cell>
          <cell r="X14">
            <v>122685.05</v>
          </cell>
          <cell r="Y14">
            <v>0.0466</v>
          </cell>
          <cell r="Z14">
            <v>466</v>
          </cell>
          <cell r="AA14">
            <v>0.00012</v>
          </cell>
          <cell r="AB14">
            <v>1.2</v>
          </cell>
          <cell r="AC14">
            <v>0.099567</v>
          </cell>
          <cell r="AD14">
            <v>995.67</v>
          </cell>
          <cell r="AE14">
            <v>0</v>
          </cell>
          <cell r="AF14">
            <v>0</v>
          </cell>
          <cell r="AG14">
            <v>0.00162</v>
          </cell>
          <cell r="AH14">
            <v>16.2</v>
          </cell>
          <cell r="AI14">
            <v>0</v>
          </cell>
          <cell r="AJ14">
            <v>0</v>
          </cell>
          <cell r="AK14">
            <v>15871.5688888889</v>
          </cell>
          <cell r="AL14">
            <v>-3.79474682771703</v>
          </cell>
          <cell r="AM14">
            <v>79.0103794989658</v>
          </cell>
          <cell r="AN14">
            <v>406.798339978942</v>
          </cell>
          <cell r="AO14">
            <v>405.504413182431</v>
          </cell>
          <cell r="AP14">
            <v>-1.29392679651062</v>
          </cell>
          <cell r="AQ14">
            <v>99.6819242682805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A15" t="str">
            <v>254路</v>
          </cell>
        </row>
        <row r="15">
          <cell r="C15">
            <v>4</v>
          </cell>
          <cell r="D15">
            <v>1.90683766082861</v>
          </cell>
          <cell r="E15">
            <v>1.895469</v>
          </cell>
          <cell r="F15">
            <v>1.895469</v>
          </cell>
          <cell r="G15">
            <v>0</v>
          </cell>
          <cell r="H15">
            <v>-0.0113686608286101</v>
          </cell>
          <cell r="I15">
            <v>99.4037950339375</v>
          </cell>
          <cell r="J15">
            <v>464</v>
          </cell>
          <cell r="K15">
            <v>475</v>
          </cell>
          <cell r="L15">
            <v>11</v>
          </cell>
          <cell r="M15">
            <v>102.370689655172</v>
          </cell>
          <cell r="N15">
            <v>2.1658694272778</v>
          </cell>
          <cell r="O15">
            <v>2.0142</v>
          </cell>
          <cell r="P15">
            <v>-0.1516694272778</v>
          </cell>
          <cell r="Q15">
            <v>92.9972958956982</v>
          </cell>
          <cell r="R15">
            <v>2.65297328531945</v>
          </cell>
          <cell r="S15">
            <v>2.4463425</v>
          </cell>
          <cell r="T15">
            <v>24463.425</v>
          </cell>
          <cell r="U15">
            <v>0.5264</v>
          </cell>
          <cell r="V15">
            <v>5264</v>
          </cell>
          <cell r="W15">
            <v>1.87948</v>
          </cell>
          <cell r="X15">
            <v>18794.8</v>
          </cell>
          <cell r="Y15">
            <v>0.0096</v>
          </cell>
          <cell r="Z15">
            <v>96</v>
          </cell>
          <cell r="AA15">
            <v>0</v>
          </cell>
          <cell r="AB15">
            <v>0</v>
          </cell>
          <cell r="AC15">
            <v>0.0308025</v>
          </cell>
          <cell r="AD15">
            <v>308.025</v>
          </cell>
          <cell r="AE15">
            <v>0</v>
          </cell>
          <cell r="AF15">
            <v>0</v>
          </cell>
          <cell r="AG15">
            <v>6e-5</v>
          </cell>
          <cell r="AH15">
            <v>0.6</v>
          </cell>
          <cell r="AI15">
            <v>0</v>
          </cell>
          <cell r="AJ15">
            <v>0</v>
          </cell>
          <cell r="AK15">
            <v>6115.85625</v>
          </cell>
          <cell r="AL15">
            <v>-0.206630785319447</v>
          </cell>
          <cell r="AM15">
            <v>92.211350696109</v>
          </cell>
          <cell r="AN15">
            <v>139.129478078727</v>
          </cell>
          <cell r="AO15">
            <v>129.062648874764</v>
          </cell>
          <cell r="AP15">
            <v>-10.0668292039628</v>
          </cell>
          <cell r="AQ15">
            <v>92.7644167555445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</row>
        <row r="16">
          <cell r="A16" t="str">
            <v>308路</v>
          </cell>
        </row>
        <row r="16">
          <cell r="C16">
            <v>13</v>
          </cell>
          <cell r="D16">
            <v>3.44475832277098</v>
          </cell>
          <cell r="E16">
            <v>3.633209</v>
          </cell>
          <cell r="F16">
            <v>3.597758</v>
          </cell>
          <cell r="G16">
            <v>0.035451</v>
          </cell>
          <cell r="H16">
            <v>0.18845067722902</v>
          </cell>
          <cell r="I16">
            <v>105.470650175465</v>
          </cell>
          <cell r="J16">
            <v>1789</v>
          </cell>
          <cell r="K16">
            <v>1813.5</v>
          </cell>
          <cell r="L16">
            <v>24.5</v>
          </cell>
          <cell r="M16">
            <v>101.369480156512</v>
          </cell>
          <cell r="N16">
            <v>17.6884274490878</v>
          </cell>
          <cell r="O16">
            <v>14.341</v>
          </cell>
          <cell r="P16">
            <v>-3.34742744908778</v>
          </cell>
          <cell r="Q16">
            <v>81.0756074347332</v>
          </cell>
          <cell r="R16">
            <v>21.6613095084321</v>
          </cell>
          <cell r="S16">
            <v>18.5923595</v>
          </cell>
          <cell r="T16">
            <v>185923.595</v>
          </cell>
          <cell r="U16">
            <v>1.9023</v>
          </cell>
          <cell r="V16">
            <v>19023</v>
          </cell>
          <cell r="W16">
            <v>16.533085</v>
          </cell>
          <cell r="X16">
            <v>165330.85</v>
          </cell>
          <cell r="Y16">
            <v>0.0508</v>
          </cell>
          <cell r="Z16">
            <v>508</v>
          </cell>
          <cell r="AA16">
            <v>6e-5</v>
          </cell>
          <cell r="AB16">
            <v>0.6</v>
          </cell>
          <cell r="AC16">
            <v>0.1053945</v>
          </cell>
          <cell r="AD16">
            <v>1053.945</v>
          </cell>
          <cell r="AE16">
            <v>0</v>
          </cell>
          <cell r="AF16">
            <v>0</v>
          </cell>
          <cell r="AG16">
            <v>0.00072</v>
          </cell>
          <cell r="AH16">
            <v>7.2</v>
          </cell>
          <cell r="AI16">
            <v>0</v>
          </cell>
          <cell r="AJ16">
            <v>0</v>
          </cell>
          <cell r="AK16">
            <v>14301.815</v>
          </cell>
          <cell r="AL16">
            <v>-3.06895000843213</v>
          </cell>
          <cell r="AM16">
            <v>85.8321122864826</v>
          </cell>
          <cell r="AN16">
            <v>628.819425886681</v>
          </cell>
          <cell r="AO16">
            <v>511.733828139257</v>
          </cell>
          <cell r="AP16">
            <v>-117.085597747424</v>
          </cell>
          <cell r="AQ16">
            <v>81.3800921333935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A17" t="str">
            <v>325路</v>
          </cell>
        </row>
        <row r="17">
          <cell r="C17">
            <v>3</v>
          </cell>
          <cell r="D17">
            <v>0.822207262377249</v>
          </cell>
          <cell r="E17">
            <v>1.110916</v>
          </cell>
          <cell r="F17">
            <v>1.110916</v>
          </cell>
          <cell r="G17">
            <v>0</v>
          </cell>
          <cell r="H17">
            <v>0.288708737622751</v>
          </cell>
          <cell r="I17">
            <v>135.113863721905</v>
          </cell>
          <cell r="J17">
            <v>494</v>
          </cell>
          <cell r="K17">
            <v>467</v>
          </cell>
          <cell r="L17">
            <v>-27</v>
          </cell>
          <cell r="M17">
            <v>94.5344129554656</v>
          </cell>
          <cell r="N17">
            <v>1.22011448953847</v>
          </cell>
          <cell r="O17">
            <v>1.3421</v>
          </cell>
          <cell r="P17">
            <v>0.121985510461527</v>
          </cell>
          <cell r="Q17">
            <v>109.997874093575</v>
          </cell>
          <cell r="R17">
            <v>1.48494608929743</v>
          </cell>
          <cell r="S17">
            <v>1.5008846</v>
          </cell>
          <cell r="T17">
            <v>15008.846</v>
          </cell>
          <cell r="U17">
            <v>0.4907</v>
          </cell>
          <cell r="V17">
            <v>4907</v>
          </cell>
          <cell r="W17">
            <v>0.962035</v>
          </cell>
          <cell r="X17">
            <v>9620.35</v>
          </cell>
          <cell r="Y17">
            <v>0.0044</v>
          </cell>
          <cell r="Z17">
            <v>44</v>
          </cell>
          <cell r="AA17">
            <v>6e-5</v>
          </cell>
          <cell r="AB17">
            <v>0.6</v>
          </cell>
          <cell r="AC17">
            <v>0.0436896</v>
          </cell>
          <cell r="AD17">
            <v>436.896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5002.94866666667</v>
          </cell>
          <cell r="AL17">
            <v>0.0159385107025696</v>
          </cell>
          <cell r="AM17">
            <v>101.07333934999</v>
          </cell>
          <cell r="AN17">
            <v>180.604837398785</v>
          </cell>
          <cell r="AO17">
            <v>135.103338146178</v>
          </cell>
          <cell r="AP17">
            <v>-45.5014992526064</v>
          </cell>
          <cell r="AQ17">
            <v>74.8060462233707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</row>
        <row r="18">
          <cell r="A18" t="str">
            <v>612路</v>
          </cell>
        </row>
        <row r="18">
          <cell r="C18">
            <v>4</v>
          </cell>
          <cell r="D18">
            <v>0.939679440009685</v>
          </cell>
          <cell r="E18">
            <v>0.84212</v>
          </cell>
          <cell r="F18">
            <v>0.84212</v>
          </cell>
          <cell r="G18">
            <v>0</v>
          </cell>
          <cell r="H18">
            <v>-0.0975594400096849</v>
          </cell>
          <cell r="I18">
            <v>89.6177956166968</v>
          </cell>
          <cell r="J18">
            <v>1009</v>
          </cell>
          <cell r="K18">
            <v>1101</v>
          </cell>
          <cell r="L18">
            <v>92</v>
          </cell>
          <cell r="M18">
            <v>109.117938553023</v>
          </cell>
          <cell r="N18">
            <v>3.63793153674614</v>
          </cell>
          <cell r="O18">
            <v>3.857</v>
          </cell>
          <cell r="P18">
            <v>0.219068463253858</v>
          </cell>
          <cell r="Q18">
            <v>106.02178631019</v>
          </cell>
          <cell r="R18">
            <v>3.71306796427677</v>
          </cell>
          <cell r="S18">
            <v>3.3716375</v>
          </cell>
          <cell r="T18">
            <v>33716.375</v>
          </cell>
          <cell r="U18">
            <v>0.7737</v>
          </cell>
          <cell r="V18">
            <v>7737</v>
          </cell>
          <cell r="W18">
            <v>2.42508</v>
          </cell>
          <cell r="X18">
            <v>24250.8</v>
          </cell>
          <cell r="Y18">
            <v>0.0086</v>
          </cell>
          <cell r="Z18">
            <v>86</v>
          </cell>
          <cell r="AA18">
            <v>0</v>
          </cell>
          <cell r="AB18">
            <v>0</v>
          </cell>
          <cell r="AC18">
            <v>0.1623375</v>
          </cell>
          <cell r="AD18">
            <v>1623.375</v>
          </cell>
          <cell r="AE18">
            <v>0</v>
          </cell>
          <cell r="AF18">
            <v>0</v>
          </cell>
          <cell r="AG18">
            <v>0.00192</v>
          </cell>
          <cell r="AH18">
            <v>19.2</v>
          </cell>
          <cell r="AI18">
            <v>0</v>
          </cell>
          <cell r="AJ18">
            <v>0</v>
          </cell>
          <cell r="AK18">
            <v>8429.09375</v>
          </cell>
          <cell r="AL18">
            <v>-0.341430464276767</v>
          </cell>
          <cell r="AM18">
            <v>90.8046265901499</v>
          </cell>
          <cell r="AN18">
            <v>395.141982061297</v>
          </cell>
          <cell r="AO18">
            <v>400.374946563435</v>
          </cell>
          <cell r="AP18">
            <v>5.23296450213786</v>
          </cell>
          <cell r="AQ18">
            <v>101.324325113429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</row>
        <row r="19">
          <cell r="A19" t="str">
            <v>20207路</v>
          </cell>
        </row>
        <row r="19">
          <cell r="C19" t="str">
            <v>0</v>
          </cell>
          <cell r="D19">
            <v>0</v>
          </cell>
          <cell r="E19">
            <v>0.550683</v>
          </cell>
          <cell r="F19">
            <v>0.550683</v>
          </cell>
          <cell r="G19">
            <v>0</v>
          </cell>
          <cell r="H19">
            <v>0.550683</v>
          </cell>
          <cell r="I19" t="e">
            <v>#DIV/0!</v>
          </cell>
          <cell r="J19">
            <v>90</v>
          </cell>
          <cell r="K19">
            <v>83</v>
          </cell>
          <cell r="L19">
            <v>-7</v>
          </cell>
          <cell r="M19">
            <v>92.2222222222222</v>
          </cell>
          <cell r="N19">
            <v>0</v>
          </cell>
          <cell r="O19">
            <v>0.4504</v>
          </cell>
          <cell r="P19">
            <v>0.4504</v>
          </cell>
          <cell r="Q19" t="e">
            <v>#DIV/0!</v>
          </cell>
          <cell r="R19">
            <v>0</v>
          </cell>
          <cell r="S19">
            <v>0.5374525</v>
          </cell>
          <cell r="T19">
            <v>5374.525</v>
          </cell>
          <cell r="U19">
            <v>0.1479</v>
          </cell>
          <cell r="V19">
            <v>1479</v>
          </cell>
          <cell r="W19">
            <v>0.386</v>
          </cell>
          <cell r="X19">
            <v>3860</v>
          </cell>
          <cell r="Y19">
            <v>0.0026</v>
          </cell>
          <cell r="Z19">
            <v>26</v>
          </cell>
          <cell r="AA19">
            <v>0</v>
          </cell>
          <cell r="AB19">
            <v>0</v>
          </cell>
          <cell r="AC19">
            <v>0.0008325</v>
          </cell>
          <cell r="AD19">
            <v>8.325</v>
          </cell>
          <cell r="AE19">
            <v>0</v>
          </cell>
          <cell r="AF19">
            <v>0</v>
          </cell>
          <cell r="AG19">
            <v>0.00012</v>
          </cell>
          <cell r="AH19">
            <v>1.2</v>
          </cell>
          <cell r="AI19">
            <v>0</v>
          </cell>
          <cell r="AJ19">
            <v>0</v>
          </cell>
          <cell r="AK19" t="e">
            <v>#DIV/0!</v>
          </cell>
          <cell r="AL19">
            <v>0.5374525</v>
          </cell>
          <cell r="AM19" t="e">
            <v>#DIV/0!</v>
          </cell>
          <cell r="AN19" t="e">
            <v>#DIV/0!</v>
          </cell>
          <cell r="AO19">
            <v>97.5974380905167</v>
          </cell>
          <cell r="AP19" t="e">
            <v>#DIV/0!</v>
          </cell>
          <cell r="AQ19" t="e">
            <v>#DIV/0!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A20" t="str">
            <v>204路</v>
          </cell>
        </row>
        <row r="20">
          <cell r="C20">
            <v>15</v>
          </cell>
          <cell r="D20">
            <v>8.25070295510623</v>
          </cell>
          <cell r="E20">
            <v>8.126249</v>
          </cell>
          <cell r="F20">
            <v>7.865382</v>
          </cell>
          <cell r="G20">
            <v>0.260867</v>
          </cell>
          <cell r="H20">
            <v>-0.124453955106228</v>
          </cell>
          <cell r="I20">
            <v>98.4915957369523</v>
          </cell>
          <cell r="J20">
            <v>1650</v>
          </cell>
          <cell r="K20">
            <v>1627.5</v>
          </cell>
          <cell r="L20">
            <v>-22.5</v>
          </cell>
          <cell r="M20">
            <v>98.6363636363636</v>
          </cell>
          <cell r="N20">
            <v>33.9879588584631</v>
          </cell>
          <cell r="O20">
            <v>25.7669</v>
          </cell>
          <cell r="P20">
            <v>-8.22105885846314</v>
          </cell>
          <cell r="Q20">
            <v>75.8118488588906</v>
          </cell>
          <cell r="R20">
            <v>37.3482557522352</v>
          </cell>
          <cell r="S20">
            <v>29.3452371094791</v>
          </cell>
          <cell r="T20">
            <v>293452.371094791</v>
          </cell>
          <cell r="U20">
            <v>6.0097</v>
          </cell>
          <cell r="V20">
            <v>60097</v>
          </cell>
          <cell r="W20">
            <v>22.766275</v>
          </cell>
          <cell r="X20">
            <v>227662.75</v>
          </cell>
          <cell r="Y20">
            <v>0.098</v>
          </cell>
          <cell r="Z20">
            <v>980</v>
          </cell>
          <cell r="AA20">
            <v>0.00018</v>
          </cell>
          <cell r="AB20">
            <v>1.8</v>
          </cell>
          <cell r="AC20">
            <v>0.2663001</v>
          </cell>
          <cell r="AD20">
            <v>2663.001</v>
          </cell>
          <cell r="AE20">
            <v>0</v>
          </cell>
          <cell r="AF20">
            <v>0</v>
          </cell>
          <cell r="AG20">
            <v>0.00234</v>
          </cell>
          <cell r="AH20">
            <v>23.4</v>
          </cell>
          <cell r="AI20">
            <v>0.202442009479062</v>
          </cell>
          <cell r="AJ20">
            <v>2024.42009479062</v>
          </cell>
          <cell r="AK20">
            <v>19563.4914063194</v>
          </cell>
          <cell r="AL20">
            <v>-8.0030186427561</v>
          </cell>
          <cell r="AM20">
            <v>78.5719078935108</v>
          </cell>
          <cell r="AN20">
            <v>452.667560030396</v>
          </cell>
          <cell r="AO20">
            <v>361.116637079162</v>
          </cell>
          <cell r="AP20">
            <v>-91.5509229512339</v>
          </cell>
          <cell r="AQ20">
            <v>79.7752410300649</v>
          </cell>
          <cell r="AR20">
            <v>591</v>
          </cell>
          <cell r="AS20">
            <v>2024.42009479062</v>
          </cell>
          <cell r="AT20">
            <v>0</v>
          </cell>
          <cell r="AU20">
            <v>0</v>
          </cell>
        </row>
        <row r="21">
          <cell r="A21" t="str">
            <v>207路</v>
          </cell>
        </row>
        <row r="21">
          <cell r="C21">
            <v>16</v>
          </cell>
          <cell r="D21">
            <v>10.2276674646609</v>
          </cell>
          <cell r="E21">
            <v>8.680564</v>
          </cell>
          <cell r="F21">
            <v>8.620346</v>
          </cell>
          <cell r="G21">
            <v>0.060218</v>
          </cell>
          <cell r="H21">
            <v>-1.5471034646609</v>
          </cell>
          <cell r="I21">
            <v>84.8733499597389</v>
          </cell>
          <cell r="J21">
            <v>1472</v>
          </cell>
          <cell r="K21">
            <v>1477.5</v>
          </cell>
          <cell r="L21">
            <v>5.5</v>
          </cell>
          <cell r="M21">
            <v>100.373641304348</v>
          </cell>
          <cell r="N21">
            <v>17.9703521743914</v>
          </cell>
          <cell r="O21">
            <v>17.7176</v>
          </cell>
          <cell r="P21">
            <v>-0.252752174391439</v>
          </cell>
          <cell r="Q21">
            <v>98.5935046128277</v>
          </cell>
          <cell r="R21">
            <v>26.4074159860473</v>
          </cell>
          <cell r="S21">
            <v>25.6467771620746</v>
          </cell>
          <cell r="T21">
            <v>256467.771620746</v>
          </cell>
          <cell r="U21">
            <v>2.8849</v>
          </cell>
          <cell r="V21">
            <v>28849</v>
          </cell>
          <cell r="W21">
            <v>22.52132</v>
          </cell>
          <cell r="X21">
            <v>225213.2</v>
          </cell>
          <cell r="Y21">
            <v>0.0656</v>
          </cell>
          <cell r="Z21">
            <v>656</v>
          </cell>
          <cell r="AA21">
            <v>0.00012</v>
          </cell>
          <cell r="AB21">
            <v>1.2</v>
          </cell>
          <cell r="AC21">
            <v>0.0509157</v>
          </cell>
          <cell r="AD21">
            <v>509.157</v>
          </cell>
          <cell r="AE21">
            <v>0</v>
          </cell>
          <cell r="AF21">
            <v>0</v>
          </cell>
          <cell r="AG21">
            <v>0.0006</v>
          </cell>
          <cell r="AH21">
            <v>6</v>
          </cell>
          <cell r="AI21">
            <v>0.123321462074576</v>
          </cell>
          <cell r="AJ21">
            <v>1233.21462074576</v>
          </cell>
          <cell r="AK21">
            <v>16029.2357262966</v>
          </cell>
          <cell r="AL21">
            <v>-0.760638823972705</v>
          </cell>
          <cell r="AM21">
            <v>97.1196014620492</v>
          </cell>
          <cell r="AN21">
            <v>258.195879728114</v>
          </cell>
          <cell r="AO21">
            <v>295.45058549277</v>
          </cell>
          <cell r="AP21">
            <v>37.2547057646558</v>
          </cell>
          <cell r="AQ21">
            <v>114.428853707459</v>
          </cell>
          <cell r="AR21">
            <v>156</v>
          </cell>
          <cell r="AS21">
            <v>633.214620745758</v>
          </cell>
          <cell r="AT21">
            <v>30</v>
          </cell>
          <cell r="AU21">
            <v>600</v>
          </cell>
        </row>
        <row r="22">
          <cell r="A22" t="str">
            <v>248路</v>
          </cell>
        </row>
        <row r="22">
          <cell r="C22">
            <v>25</v>
          </cell>
          <cell r="D22">
            <v>12.8005500586693</v>
          </cell>
          <cell r="E22">
            <v>12.267227</v>
          </cell>
          <cell r="F22">
            <v>11.718884</v>
          </cell>
          <cell r="G22">
            <v>0.548343</v>
          </cell>
          <cell r="H22">
            <v>-0.5333230586693</v>
          </cell>
          <cell r="I22">
            <v>95.8335926485589</v>
          </cell>
          <cell r="J22">
            <v>2321</v>
          </cell>
          <cell r="K22">
            <v>2194</v>
          </cell>
          <cell r="L22">
            <v>-127</v>
          </cell>
          <cell r="M22">
            <v>94.5282205945713</v>
          </cell>
          <cell r="N22">
            <v>46.5315711886377</v>
          </cell>
          <cell r="O22">
            <v>44.507</v>
          </cell>
          <cell r="P22">
            <v>-2.02457118863773</v>
          </cell>
          <cell r="Q22">
            <v>95.649037552525</v>
          </cell>
          <cell r="R22">
            <v>60.7206755998633</v>
          </cell>
          <cell r="S22">
            <v>49.6721392743636</v>
          </cell>
          <cell r="T22">
            <v>496721.392743636</v>
          </cell>
          <cell r="U22">
            <v>11.4004</v>
          </cell>
          <cell r="V22">
            <v>114004</v>
          </cell>
          <cell r="W22">
            <v>36.089325</v>
          </cell>
          <cell r="X22">
            <v>360893.25</v>
          </cell>
          <cell r="Y22">
            <v>0.1258</v>
          </cell>
          <cell r="Z22">
            <v>1258</v>
          </cell>
          <cell r="AA22">
            <v>0.00036</v>
          </cell>
          <cell r="AB22">
            <v>3.6</v>
          </cell>
          <cell r="AC22">
            <v>0.363969</v>
          </cell>
          <cell r="AD22">
            <v>3639.69</v>
          </cell>
          <cell r="AE22">
            <v>0</v>
          </cell>
          <cell r="AF22">
            <v>0</v>
          </cell>
          <cell r="AG22">
            <v>0.00462</v>
          </cell>
          <cell r="AH22">
            <v>46.2</v>
          </cell>
          <cell r="AI22">
            <v>1.68766527436363</v>
          </cell>
          <cell r="AJ22">
            <v>16876.6527436363</v>
          </cell>
          <cell r="AK22">
            <v>19868.8557097455</v>
          </cell>
          <cell r="AL22">
            <v>-11.0485363254997</v>
          </cell>
          <cell r="AM22">
            <v>81.8043257649054</v>
          </cell>
          <cell r="AN22">
            <v>474.35989329802</v>
          </cell>
          <cell r="AO22">
            <v>404.917421633786</v>
          </cell>
          <cell r="AP22">
            <v>-69.4424716642343</v>
          </cell>
          <cell r="AQ22">
            <v>85.3608046031399</v>
          </cell>
          <cell r="AR22">
            <v>5500</v>
          </cell>
          <cell r="AS22">
            <v>15576.6527436363</v>
          </cell>
          <cell r="AT22">
            <v>90</v>
          </cell>
          <cell r="AU22">
            <v>1300</v>
          </cell>
        </row>
        <row r="23">
          <cell r="A23" t="str">
            <v>255路</v>
          </cell>
        </row>
        <row r="23">
          <cell r="C23">
            <v>16</v>
          </cell>
          <cell r="D23">
            <v>8.73174288080989</v>
          </cell>
          <cell r="E23">
            <v>10.218714</v>
          </cell>
          <cell r="F23">
            <v>10.172691</v>
          </cell>
          <cell r="G23">
            <v>0.046023</v>
          </cell>
          <cell r="H23">
            <v>1.48697111919011</v>
          </cell>
          <cell r="I23">
            <v>117.029488150162</v>
          </cell>
          <cell r="J23">
            <v>1502</v>
          </cell>
          <cell r="K23">
            <v>1493.5</v>
          </cell>
          <cell r="L23">
            <v>-8.5</v>
          </cell>
          <cell r="M23">
            <v>99.4340878828229</v>
          </cell>
          <cell r="N23">
            <v>17.4171079367486</v>
          </cell>
          <cell r="O23">
            <v>16.6626</v>
          </cell>
          <cell r="P23">
            <v>-0.754507936748642</v>
          </cell>
          <cell r="Q23">
            <v>95.6680067696159</v>
          </cell>
          <cell r="R23">
            <v>24.2666545650314</v>
          </cell>
          <cell r="S23">
            <v>24.0176065194648</v>
          </cell>
          <cell r="T23">
            <v>240176.065194648</v>
          </cell>
          <cell r="U23">
            <v>3.8266</v>
          </cell>
          <cell r="V23">
            <v>38266</v>
          </cell>
          <cell r="W23">
            <v>19.888775</v>
          </cell>
          <cell r="X23">
            <v>198887.75</v>
          </cell>
          <cell r="Y23">
            <v>0.0644</v>
          </cell>
          <cell r="Z23">
            <v>644</v>
          </cell>
          <cell r="AA23">
            <v>0.0012</v>
          </cell>
          <cell r="AB23">
            <v>12</v>
          </cell>
          <cell r="AC23">
            <v>0.0422577</v>
          </cell>
          <cell r="AD23">
            <v>422.577</v>
          </cell>
          <cell r="AE23">
            <v>0</v>
          </cell>
          <cell r="AF23">
            <v>0</v>
          </cell>
          <cell r="AG23">
            <v>0.00138</v>
          </cell>
          <cell r="AH23">
            <v>13.8</v>
          </cell>
          <cell r="AI23">
            <v>0.192993819464844</v>
          </cell>
          <cell r="AJ23">
            <v>1929.93819464844</v>
          </cell>
          <cell r="AK23">
            <v>15011.0040746655</v>
          </cell>
          <cell r="AL23">
            <v>-0.249048045566564</v>
          </cell>
          <cell r="AM23">
            <v>98.9737025971209</v>
          </cell>
          <cell r="AN23">
            <v>277.913068401994</v>
          </cell>
          <cell r="AO23">
            <v>235.035509551054</v>
          </cell>
          <cell r="AP23">
            <v>-42.8775588509402</v>
          </cell>
          <cell r="AQ23">
            <v>84.5715931613122</v>
          </cell>
          <cell r="AR23">
            <v>131</v>
          </cell>
          <cell r="AS23">
            <v>529.938194648443</v>
          </cell>
          <cell r="AT23">
            <v>60</v>
          </cell>
          <cell r="AU23">
            <v>1400</v>
          </cell>
        </row>
        <row r="24">
          <cell r="A24" t="str">
            <v>806路</v>
          </cell>
        </row>
        <row r="24">
          <cell r="C24">
            <v>9</v>
          </cell>
          <cell r="D24">
            <v>4.49284799959965</v>
          </cell>
          <cell r="E24">
            <v>4.430506</v>
          </cell>
          <cell r="F24">
            <v>3.899415</v>
          </cell>
          <cell r="G24">
            <v>0.531091</v>
          </cell>
          <cell r="H24">
            <v>-0.062341999599651</v>
          </cell>
          <cell r="I24">
            <v>98.6124168989201</v>
          </cell>
          <cell r="J24">
            <v>540</v>
          </cell>
          <cell r="K24">
            <v>547</v>
          </cell>
          <cell r="L24">
            <v>7</v>
          </cell>
          <cell r="M24">
            <v>101.296296296296</v>
          </cell>
          <cell r="N24">
            <v>1.25956122882264</v>
          </cell>
          <cell r="O24">
            <v>1.2693</v>
          </cell>
          <cell r="P24">
            <v>0.00973877117736421</v>
          </cell>
          <cell r="Q24">
            <v>100.773187595371</v>
          </cell>
          <cell r="R24">
            <v>3.22289375528707</v>
          </cell>
          <cell r="S24">
            <v>4.74781021846058</v>
          </cell>
          <cell r="T24">
            <v>47478.1021846058</v>
          </cell>
          <cell r="U24">
            <v>0.1444</v>
          </cell>
          <cell r="V24">
            <v>1444</v>
          </cell>
          <cell r="W24">
            <v>3.24674</v>
          </cell>
          <cell r="X24">
            <v>32467.4</v>
          </cell>
          <cell r="Y24">
            <v>0.0085</v>
          </cell>
          <cell r="Z24">
            <v>85</v>
          </cell>
          <cell r="AA24">
            <v>0</v>
          </cell>
          <cell r="AB24">
            <v>0</v>
          </cell>
          <cell r="AC24">
            <v>0.0011655</v>
          </cell>
          <cell r="AD24">
            <v>11.655</v>
          </cell>
          <cell r="AE24">
            <v>0</v>
          </cell>
          <cell r="AF24">
            <v>0</v>
          </cell>
          <cell r="AG24">
            <v>0.00012</v>
          </cell>
          <cell r="AH24">
            <v>1.2</v>
          </cell>
          <cell r="AI24">
            <v>1.34688471846058</v>
          </cell>
          <cell r="AJ24">
            <v>13468.8471846058</v>
          </cell>
          <cell r="AK24">
            <v>5275.34468717842</v>
          </cell>
          <cell r="AL24">
            <v>1.52491646317351</v>
          </cell>
          <cell r="AM24">
            <v>147.315132888632</v>
          </cell>
          <cell r="AN24">
            <v>71.7338702661264</v>
          </cell>
          <cell r="AO24">
            <v>107.161805411404</v>
          </cell>
          <cell r="AP24">
            <v>35.4279351452776</v>
          </cell>
          <cell r="AQ24">
            <v>149.388015750221</v>
          </cell>
          <cell r="AR24">
            <v>3313</v>
          </cell>
          <cell r="AS24">
            <v>13468.8471846058</v>
          </cell>
          <cell r="AT24">
            <v>0</v>
          </cell>
          <cell r="AU24">
            <v>0</v>
          </cell>
        </row>
        <row r="25">
          <cell r="A25" t="str">
            <v>808路</v>
          </cell>
        </row>
        <row r="25">
          <cell r="C25">
            <v>4</v>
          </cell>
          <cell r="D25">
            <v>2.55604216842815</v>
          </cell>
          <cell r="E25">
            <v>2.409417</v>
          </cell>
          <cell r="F25">
            <v>2.374869</v>
          </cell>
          <cell r="G25">
            <v>0.034548</v>
          </cell>
          <cell r="H25">
            <v>-0.14662516842815</v>
          </cell>
          <cell r="I25">
            <v>94.2635857013925</v>
          </cell>
          <cell r="J25">
            <v>360</v>
          </cell>
          <cell r="K25">
            <v>338</v>
          </cell>
          <cell r="L25">
            <v>-22</v>
          </cell>
          <cell r="M25">
            <v>93.8888888888889</v>
          </cell>
          <cell r="N25">
            <v>1.17815031776623</v>
          </cell>
          <cell r="O25">
            <v>1.0573</v>
          </cell>
          <cell r="P25">
            <v>-0.120850317766231</v>
          </cell>
          <cell r="Q25">
            <v>89.7423685293942</v>
          </cell>
          <cell r="R25">
            <v>5.72530881687286</v>
          </cell>
          <cell r="S25">
            <v>5.2011722</v>
          </cell>
          <cell r="T25">
            <v>52011.722</v>
          </cell>
          <cell r="U25">
            <v>0.3735</v>
          </cell>
          <cell r="V25">
            <v>3735</v>
          </cell>
          <cell r="W25">
            <v>4.81688</v>
          </cell>
          <cell r="X25">
            <v>48168.8</v>
          </cell>
          <cell r="Y25">
            <v>0.0096</v>
          </cell>
          <cell r="Z25">
            <v>96</v>
          </cell>
          <cell r="AA25">
            <v>0</v>
          </cell>
          <cell r="AB25">
            <v>0</v>
          </cell>
          <cell r="AC25">
            <v>0.0011322</v>
          </cell>
          <cell r="AD25">
            <v>11.322</v>
          </cell>
          <cell r="AE25">
            <v>0</v>
          </cell>
          <cell r="AF25">
            <v>0</v>
          </cell>
          <cell r="AG25">
            <v>6e-5</v>
          </cell>
          <cell r="AH25">
            <v>0.6</v>
          </cell>
          <cell r="AI25">
            <v>0</v>
          </cell>
          <cell r="AJ25">
            <v>0</v>
          </cell>
          <cell r="AK25">
            <v>13002.9305</v>
          </cell>
          <cell r="AL25">
            <v>-0.52413661687286</v>
          </cell>
          <cell r="AM25">
            <v>90.8452690739023</v>
          </cell>
          <cell r="AN25">
            <v>223.991172273721</v>
          </cell>
          <cell r="AO25">
            <v>215.868494328711</v>
          </cell>
          <cell r="AP25">
            <v>-8.12267794501025</v>
          </cell>
          <cell r="AQ25">
            <v>96.3736615766785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A26" t="str">
            <v>809路</v>
          </cell>
          <cell r="B26" t="str">
            <v>品质</v>
          </cell>
          <cell r="C26">
            <v>2</v>
          </cell>
          <cell r="D26">
            <v>0</v>
          </cell>
          <cell r="E26">
            <v>1.053393</v>
          </cell>
          <cell r="F26">
            <v>0</v>
          </cell>
          <cell r="G26">
            <v>1.053393</v>
          </cell>
          <cell r="H26">
            <v>1.053393</v>
          </cell>
          <cell r="I26" t="e">
            <v>#DIV/0!</v>
          </cell>
          <cell r="J26">
            <v>120</v>
          </cell>
          <cell r="K26">
            <v>120</v>
          </cell>
          <cell r="L26">
            <v>0</v>
          </cell>
          <cell r="M26">
            <v>100</v>
          </cell>
          <cell r="N26">
            <v>0</v>
          </cell>
          <cell r="O26">
            <v>0.4058</v>
          </cell>
          <cell r="P26">
            <v>0.4058</v>
          </cell>
          <cell r="Q26" t="e">
            <v>#DIV/0!</v>
          </cell>
          <cell r="R26">
            <v>0</v>
          </cell>
          <cell r="S26">
            <v>2.8368</v>
          </cell>
          <cell r="T26">
            <v>28368</v>
          </cell>
          <cell r="U26">
            <v>1.1876</v>
          </cell>
          <cell r="V26">
            <v>11876</v>
          </cell>
          <cell r="W26">
            <v>1.645</v>
          </cell>
          <cell r="X26">
            <v>16450</v>
          </cell>
          <cell r="Y26">
            <v>0.0042</v>
          </cell>
          <cell r="Z26">
            <v>42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2.8368</v>
          </cell>
          <cell r="AJ26">
            <v>28368</v>
          </cell>
          <cell r="AK26">
            <v>14184</v>
          </cell>
          <cell r="AL26">
            <v>2.8368</v>
          </cell>
          <cell r="AM26" t="e">
            <v>#DIV/0!</v>
          </cell>
          <cell r="AN26" t="e">
            <v>#DIV/0!</v>
          </cell>
          <cell r="AO26">
            <v>269.301200976274</v>
          </cell>
          <cell r="AP26" t="e">
            <v>#DIV/0!</v>
          </cell>
          <cell r="AQ26" t="e">
            <v>#DIV/0!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A27" t="str">
            <v>B267路</v>
          </cell>
        </row>
        <row r="27">
          <cell r="C27">
            <v>5</v>
          </cell>
          <cell r="D27">
            <v>3.17131120402992</v>
          </cell>
          <cell r="E27">
            <v>3.431582</v>
          </cell>
          <cell r="F27">
            <v>3.227312</v>
          </cell>
          <cell r="G27">
            <v>0.20427</v>
          </cell>
          <cell r="H27">
            <v>0.26027079597008</v>
          </cell>
          <cell r="I27">
            <v>108.207040533876</v>
          </cell>
          <cell r="J27">
            <v>600</v>
          </cell>
          <cell r="K27">
            <v>593</v>
          </cell>
          <cell r="L27">
            <v>-7</v>
          </cell>
          <cell r="M27">
            <v>98.8333333333333</v>
          </cell>
          <cell r="N27">
            <v>2.30872379612287</v>
          </cell>
          <cell r="O27">
            <v>1.8857</v>
          </cell>
          <cell r="P27">
            <v>-0.423023796122866</v>
          </cell>
          <cell r="Q27">
            <v>81.6771587474748</v>
          </cell>
          <cell r="R27">
            <v>5.74126542614114</v>
          </cell>
          <cell r="S27">
            <v>4.3585828</v>
          </cell>
          <cell r="T27">
            <v>43585.828</v>
          </cell>
          <cell r="U27">
            <v>0.7678</v>
          </cell>
          <cell r="V27">
            <v>7678</v>
          </cell>
          <cell r="W27">
            <v>3.55722</v>
          </cell>
          <cell r="X27">
            <v>35572.2</v>
          </cell>
          <cell r="Y27">
            <v>0.0294</v>
          </cell>
          <cell r="Z27">
            <v>294</v>
          </cell>
          <cell r="AA27">
            <v>0</v>
          </cell>
          <cell r="AB27">
            <v>0</v>
          </cell>
          <cell r="AC27">
            <v>0.0038628</v>
          </cell>
          <cell r="AD27">
            <v>38.628</v>
          </cell>
          <cell r="AE27">
            <v>0</v>
          </cell>
          <cell r="AF27">
            <v>0</v>
          </cell>
          <cell r="AG27">
            <v>0.0003</v>
          </cell>
          <cell r="AH27">
            <v>3</v>
          </cell>
          <cell r="AI27">
            <v>0</v>
          </cell>
          <cell r="AJ27">
            <v>0</v>
          </cell>
          <cell r="AK27">
            <v>8717.1656</v>
          </cell>
          <cell r="AL27">
            <v>-1.38268262614114</v>
          </cell>
          <cell r="AM27">
            <v>75.9167618371116</v>
          </cell>
          <cell r="AN27">
            <v>181.037591607076</v>
          </cell>
          <cell r="AO27">
            <v>127.013802963181</v>
          </cell>
          <cell r="AP27">
            <v>-54.023788643895</v>
          </cell>
          <cell r="AQ27">
            <v>70.1588006312258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A28" t="str">
            <v>10248路</v>
          </cell>
        </row>
        <row r="28">
          <cell r="C28">
            <v>18</v>
          </cell>
          <cell r="D28">
            <v>8.33476393325094</v>
          </cell>
          <cell r="E28">
            <v>8.174571</v>
          </cell>
          <cell r="F28">
            <v>8.064868</v>
          </cell>
          <cell r="G28">
            <v>0.109703</v>
          </cell>
          <cell r="H28">
            <v>-0.16019293325094</v>
          </cell>
          <cell r="I28">
            <v>98.0780147520212</v>
          </cell>
          <cell r="J28">
            <v>1331</v>
          </cell>
          <cell r="K28">
            <v>1511</v>
          </cell>
          <cell r="L28">
            <v>180</v>
          </cell>
          <cell r="M28">
            <v>113.523666416228</v>
          </cell>
          <cell r="N28">
            <v>5.93290274519531</v>
          </cell>
          <cell r="O28">
            <v>21.4816</v>
          </cell>
          <cell r="P28">
            <v>15.5486972548047</v>
          </cell>
          <cell r="Q28">
            <v>362.075714411409</v>
          </cell>
          <cell r="R28">
            <v>26.5373208561491</v>
          </cell>
          <cell r="S28">
            <v>25.3460661848057</v>
          </cell>
          <cell r="T28">
            <v>253460.661848057</v>
          </cell>
          <cell r="U28">
            <v>5.237</v>
          </cell>
          <cell r="V28">
            <v>52370</v>
          </cell>
          <cell r="W28">
            <v>19.45231</v>
          </cell>
          <cell r="X28">
            <v>194523.1</v>
          </cell>
          <cell r="Y28">
            <v>0.082</v>
          </cell>
          <cell r="Z28">
            <v>820</v>
          </cell>
          <cell r="AA28">
            <v>0</v>
          </cell>
          <cell r="AB28">
            <v>0</v>
          </cell>
          <cell r="AC28">
            <v>0.1024641</v>
          </cell>
          <cell r="AD28">
            <v>1024.641</v>
          </cell>
          <cell r="AE28">
            <v>0</v>
          </cell>
          <cell r="AF28">
            <v>0</v>
          </cell>
          <cell r="AG28">
            <v>0.00114</v>
          </cell>
          <cell r="AH28">
            <v>11.4</v>
          </cell>
          <cell r="AI28">
            <v>0.471152084805653</v>
          </cell>
          <cell r="AJ28">
            <v>4711.52084805653</v>
          </cell>
          <cell r="AK28">
            <v>14081.1478804476</v>
          </cell>
          <cell r="AL28">
            <v>-1.19125467134341</v>
          </cell>
          <cell r="AM28">
            <v>95.5110213355717</v>
          </cell>
          <cell r="AN28">
            <v>318.393191081038</v>
          </cell>
          <cell r="AO28">
            <v>310.059894088701</v>
          </cell>
          <cell r="AP28">
            <v>-8.33329699233667</v>
          </cell>
          <cell r="AQ28">
            <v>97.3827025119342</v>
          </cell>
          <cell r="AR28">
            <v>1653</v>
          </cell>
          <cell r="AS28">
            <v>3911.52084805653</v>
          </cell>
          <cell r="AT28">
            <v>60</v>
          </cell>
          <cell r="AU28">
            <v>800</v>
          </cell>
        </row>
        <row r="29">
          <cell r="A29" t="str">
            <v>9路</v>
          </cell>
        </row>
        <row r="29">
          <cell r="C29">
            <v>18</v>
          </cell>
          <cell r="D29">
            <v>6.35771642658777</v>
          </cell>
          <cell r="E29">
            <v>6.519024</v>
          </cell>
          <cell r="F29">
            <v>6.497496</v>
          </cell>
          <cell r="G29">
            <v>0.021528</v>
          </cell>
          <cell r="H29">
            <v>0.16130757341223</v>
          </cell>
          <cell r="I29">
            <v>102.537193586327</v>
          </cell>
          <cell r="J29">
            <v>2257</v>
          </cell>
          <cell r="K29">
            <v>2213.5</v>
          </cell>
          <cell r="L29">
            <v>-43.5</v>
          </cell>
          <cell r="M29">
            <v>98.0726628267612</v>
          </cell>
          <cell r="N29">
            <v>37.1897153966133</v>
          </cell>
          <cell r="O29">
            <v>31.2318</v>
          </cell>
          <cell r="P29">
            <v>-5.95791539661334</v>
          </cell>
          <cell r="Q29">
            <v>83.9796692900858</v>
          </cell>
          <cell r="R29">
            <v>43.3655136441443</v>
          </cell>
          <cell r="S29">
            <v>36.4590221705734</v>
          </cell>
          <cell r="T29">
            <v>364590.221705734</v>
          </cell>
          <cell r="U29">
            <v>4.8893</v>
          </cell>
          <cell r="V29">
            <v>48893</v>
          </cell>
          <cell r="W29">
            <v>31.187565</v>
          </cell>
          <cell r="X29">
            <v>311875.65</v>
          </cell>
          <cell r="Y29">
            <v>0.1162</v>
          </cell>
          <cell r="Z29">
            <v>1162</v>
          </cell>
          <cell r="AA29">
            <v>0.00516</v>
          </cell>
          <cell r="AB29">
            <v>51.6</v>
          </cell>
          <cell r="AC29">
            <v>0.2436894</v>
          </cell>
          <cell r="AD29">
            <v>2436.894</v>
          </cell>
          <cell r="AE29">
            <v>0</v>
          </cell>
          <cell r="AF29">
            <v>0</v>
          </cell>
          <cell r="AG29">
            <v>0.00642</v>
          </cell>
          <cell r="AH29">
            <v>64.2</v>
          </cell>
          <cell r="AI29">
            <v>0.0106877705733707</v>
          </cell>
          <cell r="AJ29">
            <v>106.877705733707</v>
          </cell>
          <cell r="AK29">
            <v>20255.0123169852</v>
          </cell>
          <cell r="AL29">
            <v>-6.9064914735709</v>
          </cell>
          <cell r="AM29">
            <v>84.0737699309979</v>
          </cell>
          <cell r="AN29">
            <v>682.092605810335</v>
          </cell>
          <cell r="AO29">
            <v>559.271175724669</v>
          </cell>
          <cell r="AP29">
            <v>-122.821430085666</v>
          </cell>
          <cell r="AQ29">
            <v>81.9934376887501</v>
          </cell>
          <cell r="AR29">
            <v>47</v>
          </cell>
          <cell r="AS29">
            <v>106.877705733707</v>
          </cell>
          <cell r="AT29">
            <v>0</v>
          </cell>
          <cell r="AU29">
            <v>0</v>
          </cell>
        </row>
        <row r="30">
          <cell r="A30" t="str">
            <v>11路</v>
          </cell>
        </row>
        <row r="30">
          <cell r="C30">
            <v>15</v>
          </cell>
          <cell r="D30">
            <v>6.23680491616583</v>
          </cell>
          <cell r="E30">
            <v>5.823364</v>
          </cell>
          <cell r="F30">
            <v>5.538366</v>
          </cell>
          <cell r="G30">
            <v>0.284998</v>
          </cell>
          <cell r="H30">
            <v>-0.41344091616583</v>
          </cell>
          <cell r="I30">
            <v>93.3709500020725</v>
          </cell>
          <cell r="J30">
            <v>1714</v>
          </cell>
          <cell r="K30">
            <v>1803</v>
          </cell>
          <cell r="L30">
            <v>89</v>
          </cell>
          <cell r="M30">
            <v>105.192532088681</v>
          </cell>
          <cell r="N30">
            <v>31.3772176789755</v>
          </cell>
          <cell r="O30">
            <v>25.6879</v>
          </cell>
          <cell r="P30">
            <v>-5.68931767897554</v>
          </cell>
          <cell r="Q30">
            <v>81.867998185232</v>
          </cell>
          <cell r="R30">
            <v>36.2750308185114</v>
          </cell>
          <cell r="S30">
            <v>30.2404314724792</v>
          </cell>
          <cell r="T30">
            <v>302404.314724792</v>
          </cell>
          <cell r="U30">
            <v>4.3659</v>
          </cell>
          <cell r="V30">
            <v>43659</v>
          </cell>
          <cell r="W30">
            <v>24.47953</v>
          </cell>
          <cell r="X30">
            <v>244795.3</v>
          </cell>
          <cell r="Y30">
            <v>0.1004</v>
          </cell>
          <cell r="Z30">
            <v>1004</v>
          </cell>
          <cell r="AA30">
            <v>6e-5</v>
          </cell>
          <cell r="AB30">
            <v>0.6</v>
          </cell>
          <cell r="AC30">
            <v>0.2363967</v>
          </cell>
          <cell r="AD30">
            <v>2363.967</v>
          </cell>
          <cell r="AE30">
            <v>0</v>
          </cell>
          <cell r="AF30">
            <v>0</v>
          </cell>
          <cell r="AG30">
            <v>0.0051</v>
          </cell>
          <cell r="AH30">
            <v>51</v>
          </cell>
          <cell r="AI30">
            <v>1.05304477247922</v>
          </cell>
          <cell r="AJ30">
            <v>10530.4477247922</v>
          </cell>
          <cell r="AK30">
            <v>20160.2876483195</v>
          </cell>
          <cell r="AL30">
            <v>-6.03459934603215</v>
          </cell>
          <cell r="AM30">
            <v>83.3643164185745</v>
          </cell>
          <cell r="AN30">
            <v>581.62843484949</v>
          </cell>
          <cell r="AO30">
            <v>519.294886469045</v>
          </cell>
          <cell r="AP30">
            <v>-62.3335483804454</v>
          </cell>
          <cell r="AQ30">
            <v>89.2829262385399</v>
          </cell>
          <cell r="AR30">
            <v>2962</v>
          </cell>
          <cell r="AS30">
            <v>10530.4477247922</v>
          </cell>
          <cell r="AT30">
            <v>0</v>
          </cell>
          <cell r="AU30">
            <v>0</v>
          </cell>
        </row>
        <row r="31">
          <cell r="A31" t="str">
            <v>13路</v>
          </cell>
        </row>
        <row r="31">
          <cell r="C31">
            <v>13</v>
          </cell>
          <cell r="D31">
            <v>5.19660992025657</v>
          </cell>
          <cell r="E31">
            <v>4.980105</v>
          </cell>
          <cell r="F31">
            <v>4.90299</v>
          </cell>
          <cell r="G31">
            <v>0.077115</v>
          </cell>
          <cell r="H31">
            <v>-0.21650492025657</v>
          </cell>
          <cell r="I31">
            <v>95.8337276882641</v>
          </cell>
          <cell r="J31">
            <v>1736</v>
          </cell>
          <cell r="K31">
            <v>1735</v>
          </cell>
          <cell r="L31">
            <v>-1</v>
          </cell>
          <cell r="M31">
            <v>99.9423963133641</v>
          </cell>
          <cell r="N31">
            <v>28.1394144679615</v>
          </cell>
          <cell r="O31">
            <v>23.2054</v>
          </cell>
          <cell r="P31">
            <v>-4.93401446796151</v>
          </cell>
          <cell r="Q31">
            <v>82.4658239652456</v>
          </cell>
          <cell r="R31">
            <v>28.7683471056018</v>
          </cell>
          <cell r="S31">
            <v>24.6723646685099</v>
          </cell>
          <cell r="T31">
            <v>246723.646685099</v>
          </cell>
          <cell r="U31">
            <v>5.1855</v>
          </cell>
          <cell r="V31">
            <v>51855</v>
          </cell>
          <cell r="W31">
            <v>18.82505</v>
          </cell>
          <cell r="X31">
            <v>188250.5</v>
          </cell>
          <cell r="Y31">
            <v>0.0712</v>
          </cell>
          <cell r="Z31">
            <v>712</v>
          </cell>
          <cell r="AA31">
            <v>0.00024</v>
          </cell>
          <cell r="AB31">
            <v>2.4</v>
          </cell>
          <cell r="AC31">
            <v>0.3507489</v>
          </cell>
          <cell r="AD31">
            <v>3507.489</v>
          </cell>
          <cell r="AE31">
            <v>0</v>
          </cell>
          <cell r="AF31">
            <v>0</v>
          </cell>
          <cell r="AG31">
            <v>0.00264</v>
          </cell>
          <cell r="AH31">
            <v>26.4</v>
          </cell>
          <cell r="AI31">
            <v>0.23698576850985</v>
          </cell>
          <cell r="AJ31">
            <v>2369.8576850985</v>
          </cell>
          <cell r="AK31">
            <v>18978.7420526999</v>
          </cell>
          <cell r="AL31">
            <v>-4.09598243709192</v>
          </cell>
          <cell r="AM31">
            <v>85.7621905698769</v>
          </cell>
          <cell r="AN31">
            <v>553.598356371944</v>
          </cell>
          <cell r="AO31">
            <v>495.418563835699</v>
          </cell>
          <cell r="AP31">
            <v>-58.179792536245</v>
          </cell>
          <cell r="AQ31">
            <v>89.4906132096324</v>
          </cell>
          <cell r="AR31">
            <v>693</v>
          </cell>
          <cell r="AS31">
            <v>2369.8576850985</v>
          </cell>
          <cell r="AT31">
            <v>0</v>
          </cell>
          <cell r="AU31">
            <v>0</v>
          </cell>
        </row>
        <row r="32">
          <cell r="A32" t="str">
            <v>43路</v>
          </cell>
        </row>
        <row r="32">
          <cell r="C32">
            <v>10</v>
          </cell>
          <cell r="D32">
            <v>5.24493336546932</v>
          </cell>
          <cell r="E32">
            <v>4.578798</v>
          </cell>
          <cell r="F32">
            <v>4.545285</v>
          </cell>
          <cell r="G32">
            <v>0.033513</v>
          </cell>
          <cell r="H32">
            <v>-0.66613536546932</v>
          </cell>
          <cell r="I32">
            <v>87.2994503637566</v>
          </cell>
          <cell r="J32">
            <v>1215</v>
          </cell>
          <cell r="K32">
            <v>1250</v>
          </cell>
          <cell r="L32">
            <v>35</v>
          </cell>
          <cell r="M32">
            <v>102.880658436214</v>
          </cell>
          <cell r="N32">
            <v>20.6226780482911</v>
          </cell>
          <cell r="O32">
            <v>13.102</v>
          </cell>
          <cell r="P32">
            <v>-7.52067804829107</v>
          </cell>
          <cell r="Q32">
            <v>63.5320008842679</v>
          </cell>
          <cell r="R32">
            <v>23.9301433380572</v>
          </cell>
          <cell r="S32">
            <v>15.4208988562707</v>
          </cell>
          <cell r="T32">
            <v>154208.988562707</v>
          </cell>
          <cell r="U32">
            <v>4.796</v>
          </cell>
          <cell r="V32">
            <v>47960</v>
          </cell>
          <cell r="W32">
            <v>10.34325</v>
          </cell>
          <cell r="X32">
            <v>103432.5</v>
          </cell>
          <cell r="Y32">
            <v>0.0556</v>
          </cell>
          <cell r="Z32">
            <v>556</v>
          </cell>
          <cell r="AA32">
            <v>6e-5</v>
          </cell>
          <cell r="AB32">
            <v>0.6</v>
          </cell>
          <cell r="AC32">
            <v>0.1212453</v>
          </cell>
          <cell r="AD32">
            <v>1212.453</v>
          </cell>
          <cell r="AE32">
            <v>0</v>
          </cell>
          <cell r="AF32">
            <v>0</v>
          </cell>
          <cell r="AG32">
            <v>0.00192</v>
          </cell>
          <cell r="AH32">
            <v>19.2</v>
          </cell>
          <cell r="AI32">
            <v>0.102823556270677</v>
          </cell>
          <cell r="AJ32">
            <v>1028.23556270677</v>
          </cell>
          <cell r="AK32">
            <v>15420.8988562707</v>
          </cell>
          <cell r="AL32">
            <v>-8.5092444817865</v>
          </cell>
          <cell r="AM32">
            <v>64.4413141970033</v>
          </cell>
          <cell r="AN32">
            <v>456.252571207183</v>
          </cell>
          <cell r="AO32">
            <v>336.789237181258</v>
          </cell>
          <cell r="AP32">
            <v>-119.463334025925</v>
          </cell>
          <cell r="AQ32">
            <v>73.8164031142134</v>
          </cell>
          <cell r="AR32">
            <v>323</v>
          </cell>
          <cell r="AS32">
            <v>1028.23556270677</v>
          </cell>
          <cell r="AT32">
            <v>0</v>
          </cell>
          <cell r="AU32">
            <v>0</v>
          </cell>
        </row>
        <row r="33">
          <cell r="A33" t="str">
            <v>53路</v>
          </cell>
        </row>
        <row r="33">
          <cell r="C33">
            <v>8</v>
          </cell>
          <cell r="D33">
            <v>3.08249575628967</v>
          </cell>
          <cell r="E33">
            <v>2.724842</v>
          </cell>
          <cell r="F33">
            <v>2.606029</v>
          </cell>
          <cell r="G33">
            <v>0.118813</v>
          </cell>
          <cell r="H33">
            <v>-0.35765375628967</v>
          </cell>
          <cell r="I33">
            <v>88.397266871823</v>
          </cell>
          <cell r="J33">
            <v>1270</v>
          </cell>
          <cell r="K33">
            <v>1248</v>
          </cell>
          <cell r="L33">
            <v>-22</v>
          </cell>
          <cell r="M33">
            <v>98.2677165354331</v>
          </cell>
          <cell r="N33">
            <v>9.87370789476048</v>
          </cell>
          <cell r="O33">
            <v>5.3711</v>
          </cell>
          <cell r="P33">
            <v>-4.50260789476048</v>
          </cell>
          <cell r="Q33">
            <v>54.3980038426111</v>
          </cell>
          <cell r="R33">
            <v>8.1393971438322</v>
          </cell>
          <cell r="S33">
            <v>6.66822718682215</v>
          </cell>
          <cell r="T33">
            <v>66682.2718682215</v>
          </cell>
          <cell r="U33">
            <v>1.2457</v>
          </cell>
          <cell r="V33">
            <v>12457</v>
          </cell>
          <cell r="W33">
            <v>4.925325</v>
          </cell>
          <cell r="X33">
            <v>49253.25</v>
          </cell>
          <cell r="Y33">
            <v>0.024</v>
          </cell>
          <cell r="Z33">
            <v>240</v>
          </cell>
          <cell r="AA33">
            <v>0</v>
          </cell>
          <cell r="AB33">
            <v>0</v>
          </cell>
          <cell r="AC33">
            <v>0.0844155</v>
          </cell>
          <cell r="AD33">
            <v>844.155</v>
          </cell>
          <cell r="AE33">
            <v>0</v>
          </cell>
          <cell r="AF33">
            <v>0</v>
          </cell>
          <cell r="AG33">
            <v>0.00018</v>
          </cell>
          <cell r="AH33">
            <v>1.8</v>
          </cell>
          <cell r="AI33">
            <v>0.388606686822155</v>
          </cell>
          <cell r="AJ33">
            <v>3886.06686822155</v>
          </cell>
          <cell r="AK33">
            <v>8335.28398352769</v>
          </cell>
          <cell r="AL33">
            <v>-1.47116995701005</v>
          </cell>
          <cell r="AM33">
            <v>81.9253203767694</v>
          </cell>
          <cell r="AN33">
            <v>264.05217678643</v>
          </cell>
          <cell r="AO33">
            <v>244.719774094137</v>
          </cell>
          <cell r="AP33">
            <v>-19.3324026922934</v>
          </cell>
          <cell r="AQ33">
            <v>92.678567195479</v>
          </cell>
          <cell r="AR33">
            <v>1166</v>
          </cell>
          <cell r="AS33">
            <v>3886.06686822155</v>
          </cell>
          <cell r="AT33">
            <v>0</v>
          </cell>
          <cell r="AU33">
            <v>0</v>
          </cell>
        </row>
        <row r="34">
          <cell r="A34" t="str">
            <v>327路</v>
          </cell>
        </row>
        <row r="34">
          <cell r="C34">
            <v>3</v>
          </cell>
          <cell r="D34">
            <v>0.11448</v>
          </cell>
          <cell r="E34">
            <v>0.857162</v>
          </cell>
          <cell r="F34">
            <v>0.857162</v>
          </cell>
          <cell r="G34">
            <v>0</v>
          </cell>
          <cell r="H34">
            <v>0.742682</v>
          </cell>
          <cell r="I34">
            <v>748.743885394829</v>
          </cell>
          <cell r="J34">
            <v>360</v>
          </cell>
          <cell r="K34">
            <v>267</v>
          </cell>
          <cell r="L34">
            <v>-93</v>
          </cell>
          <cell r="M34">
            <v>74.1666666666667</v>
          </cell>
          <cell r="N34">
            <v>1.24</v>
          </cell>
          <cell r="O34">
            <v>1.2648</v>
          </cell>
          <cell r="P34">
            <v>0.0247999999999999</v>
          </cell>
          <cell r="Q34">
            <v>102</v>
          </cell>
          <cell r="R34">
            <v>1.6001045683984</v>
          </cell>
          <cell r="S34">
            <v>1.4672525</v>
          </cell>
          <cell r="T34">
            <v>14672.525</v>
          </cell>
          <cell r="U34">
            <v>0.5686</v>
          </cell>
          <cell r="V34">
            <v>5686</v>
          </cell>
          <cell r="W34">
            <v>0.892035</v>
          </cell>
          <cell r="X34">
            <v>8920.35</v>
          </cell>
          <cell r="Y34">
            <v>0.004</v>
          </cell>
          <cell r="Z34">
            <v>40</v>
          </cell>
          <cell r="AA34">
            <v>0</v>
          </cell>
          <cell r="AB34">
            <v>0</v>
          </cell>
          <cell r="AC34">
            <v>0.0024975</v>
          </cell>
          <cell r="AD34">
            <v>24.975</v>
          </cell>
          <cell r="AE34">
            <v>0</v>
          </cell>
          <cell r="AF34">
            <v>0</v>
          </cell>
          <cell r="AG34">
            <v>0.00012</v>
          </cell>
          <cell r="AH34">
            <v>1.2</v>
          </cell>
          <cell r="AI34">
            <v>0</v>
          </cell>
          <cell r="AJ34">
            <v>0</v>
          </cell>
          <cell r="AK34">
            <v>4890.84166666667</v>
          </cell>
          <cell r="AL34">
            <v>-0.1328520683984</v>
          </cell>
          <cell r="AM34">
            <v>91.6972883508872</v>
          </cell>
          <cell r="AN34">
            <v>1397.71538120056</v>
          </cell>
          <cell r="AO34">
            <v>171.175635410809</v>
          </cell>
          <cell r="AP34">
            <v>-1226.53974578975</v>
          </cell>
          <cell r="AQ34">
            <v>12.2468163199133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</row>
        <row r="35">
          <cell r="A35" t="str">
            <v>609路</v>
          </cell>
        </row>
        <row r="35">
          <cell r="C35">
            <v>3</v>
          </cell>
          <cell r="D35">
            <v>0.601596586096503</v>
          </cell>
          <cell r="E35">
            <v>0.596281</v>
          </cell>
          <cell r="F35">
            <v>0.596281</v>
          </cell>
          <cell r="G35">
            <v>0</v>
          </cell>
          <cell r="H35">
            <v>-0.00531558609650296</v>
          </cell>
          <cell r="I35">
            <v>99.1164201693707</v>
          </cell>
          <cell r="J35">
            <v>1044</v>
          </cell>
          <cell r="K35">
            <v>1034</v>
          </cell>
          <cell r="L35">
            <v>-10</v>
          </cell>
          <cell r="M35">
            <v>99.0421455938697</v>
          </cell>
          <cell r="N35">
            <v>4.37556559478227</v>
          </cell>
          <cell r="O35">
            <v>4.4202</v>
          </cell>
          <cell r="P35">
            <v>0.0446344052177317</v>
          </cell>
          <cell r="Q35">
            <v>101.020083101279</v>
          </cell>
          <cell r="R35">
            <v>4.79445795267945</v>
          </cell>
          <cell r="S35">
            <v>4.3987525</v>
          </cell>
          <cell r="T35">
            <v>43987.525</v>
          </cell>
          <cell r="U35">
            <v>0.5699</v>
          </cell>
          <cell r="V35">
            <v>5699</v>
          </cell>
          <cell r="W35">
            <v>3.759735</v>
          </cell>
          <cell r="X35">
            <v>37597.35</v>
          </cell>
          <cell r="Y35">
            <v>0.0062</v>
          </cell>
          <cell r="Z35">
            <v>62</v>
          </cell>
          <cell r="AA35">
            <v>0</v>
          </cell>
          <cell r="AB35">
            <v>0</v>
          </cell>
          <cell r="AC35">
            <v>0.0624375</v>
          </cell>
          <cell r="AD35">
            <v>624.375</v>
          </cell>
          <cell r="AE35">
            <v>0</v>
          </cell>
          <cell r="AF35">
            <v>0</v>
          </cell>
          <cell r="AG35">
            <v>0.00048</v>
          </cell>
          <cell r="AH35">
            <v>4.8</v>
          </cell>
          <cell r="AI35">
            <v>0</v>
          </cell>
          <cell r="AJ35">
            <v>0</v>
          </cell>
          <cell r="AK35">
            <v>14662.5083333333</v>
          </cell>
          <cell r="AL35">
            <v>-0.395705452679448</v>
          </cell>
          <cell r="AM35">
            <v>91.74660709125</v>
          </cell>
          <cell r="AN35">
            <v>796.955644942833</v>
          </cell>
          <cell r="AO35">
            <v>737.697914238421</v>
          </cell>
          <cell r="AP35">
            <v>-59.2577307044114</v>
          </cell>
          <cell r="AQ35">
            <v>92.5644882396608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</row>
        <row r="36">
          <cell r="A36" t="str">
            <v>610路</v>
          </cell>
        </row>
        <row r="36">
          <cell r="C36">
            <v>4</v>
          </cell>
          <cell r="D36">
            <v>0.97325258397164</v>
          </cell>
          <cell r="E36">
            <v>0.989981</v>
          </cell>
          <cell r="F36">
            <v>0.989981</v>
          </cell>
          <cell r="G36">
            <v>0</v>
          </cell>
          <cell r="H36">
            <v>0.0167284160283599</v>
          </cell>
          <cell r="I36">
            <v>101.718815475433</v>
          </cell>
          <cell r="J36">
            <v>1320</v>
          </cell>
          <cell r="K36">
            <v>1317</v>
          </cell>
          <cell r="L36">
            <v>-3</v>
          </cell>
          <cell r="M36">
            <v>99.7727272727273</v>
          </cell>
          <cell r="N36">
            <v>6.66987970429301</v>
          </cell>
          <cell r="O36">
            <v>6.4742</v>
          </cell>
          <cell r="P36">
            <v>-0.19567970429301</v>
          </cell>
          <cell r="Q36">
            <v>97.0662183882108</v>
          </cell>
          <cell r="R36">
            <v>6.31886976053594</v>
          </cell>
          <cell r="S36">
            <v>5.4785472</v>
          </cell>
          <cell r="T36">
            <v>54785.472</v>
          </cell>
          <cell r="U36">
            <v>0.8598</v>
          </cell>
          <cell r="V36">
            <v>8598</v>
          </cell>
          <cell r="W36">
            <v>4.52278</v>
          </cell>
          <cell r="X36">
            <v>45227.8</v>
          </cell>
          <cell r="Y36">
            <v>0.0158</v>
          </cell>
          <cell r="Z36">
            <v>158</v>
          </cell>
          <cell r="AA36">
            <v>0.00018</v>
          </cell>
          <cell r="AB36">
            <v>1.8</v>
          </cell>
          <cell r="AC36">
            <v>0.0793872</v>
          </cell>
          <cell r="AD36">
            <v>793.872</v>
          </cell>
          <cell r="AE36">
            <v>0</v>
          </cell>
          <cell r="AF36">
            <v>0</v>
          </cell>
          <cell r="AG36">
            <v>0.0006</v>
          </cell>
          <cell r="AH36">
            <v>6</v>
          </cell>
          <cell r="AI36">
            <v>0</v>
          </cell>
          <cell r="AJ36">
            <v>0</v>
          </cell>
          <cell r="AK36">
            <v>13696.368</v>
          </cell>
          <cell r="AL36">
            <v>-0.840322560535937</v>
          </cell>
          <cell r="AM36">
            <v>86.7013786898392</v>
          </cell>
          <cell r="AN36">
            <v>649.252811099659</v>
          </cell>
          <cell r="AO36">
            <v>553.399226853849</v>
          </cell>
          <cell r="AP36">
            <v>-95.8535842458098</v>
          </cell>
          <cell r="AQ36">
            <v>85.2363235696339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</row>
        <row r="37">
          <cell r="A37" t="str">
            <v>618路</v>
          </cell>
        </row>
        <row r="37">
          <cell r="C37">
            <v>1</v>
          </cell>
          <cell r="D37">
            <v>0.03276</v>
          </cell>
          <cell r="E37">
            <v>0.406675</v>
          </cell>
          <cell r="F37">
            <v>0.406675</v>
          </cell>
          <cell r="G37">
            <v>0</v>
          </cell>
          <cell r="H37">
            <v>0.373915</v>
          </cell>
          <cell r="I37">
            <v>1241.37667887668</v>
          </cell>
          <cell r="J37">
            <v>420</v>
          </cell>
          <cell r="K37">
            <v>411</v>
          </cell>
          <cell r="L37">
            <v>-9</v>
          </cell>
          <cell r="M37">
            <v>97.8571428571428</v>
          </cell>
          <cell r="N37">
            <v>0.124</v>
          </cell>
          <cell r="O37">
            <v>0.113</v>
          </cell>
          <cell r="P37">
            <v>-0.011</v>
          </cell>
          <cell r="Q37">
            <v>91.1290322580645</v>
          </cell>
          <cell r="R37">
            <v>0.155</v>
          </cell>
          <cell r="S37">
            <v>0.134845</v>
          </cell>
          <cell r="T37">
            <v>1348.45</v>
          </cell>
          <cell r="U37">
            <v>0.0609</v>
          </cell>
          <cell r="V37">
            <v>609</v>
          </cell>
          <cell r="W37">
            <v>0.073945</v>
          </cell>
          <cell r="X37">
            <v>739.45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1348.45</v>
          </cell>
          <cell r="AL37">
            <v>-0.020155</v>
          </cell>
          <cell r="AM37">
            <v>86.9967741935484</v>
          </cell>
          <cell r="AN37">
            <v>473.137973137973</v>
          </cell>
          <cell r="AO37">
            <v>33.157927091658</v>
          </cell>
          <cell r="AP37">
            <v>-439.980046046315</v>
          </cell>
          <cell r="AQ37">
            <v>7.00808833240461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</row>
        <row r="38">
          <cell r="A38" t="str">
            <v>619路</v>
          </cell>
        </row>
        <row r="38">
          <cell r="C38">
            <v>1</v>
          </cell>
          <cell r="D38">
            <v>0.03276</v>
          </cell>
          <cell r="E38">
            <v>0.373556</v>
          </cell>
          <cell r="F38">
            <v>0.373556</v>
          </cell>
          <cell r="G38">
            <v>0</v>
          </cell>
          <cell r="H38">
            <v>0.340796</v>
          </cell>
          <cell r="I38">
            <v>1140.28083028083</v>
          </cell>
          <cell r="J38">
            <v>420</v>
          </cell>
          <cell r="K38">
            <v>399</v>
          </cell>
          <cell r="L38">
            <v>-21</v>
          </cell>
          <cell r="M38">
            <v>95</v>
          </cell>
          <cell r="N38">
            <v>0.124</v>
          </cell>
          <cell r="O38">
            <v>0.1073</v>
          </cell>
          <cell r="P38">
            <v>-0.0167</v>
          </cell>
          <cell r="Q38">
            <v>86.5322580645161</v>
          </cell>
          <cell r="R38">
            <v>0.155</v>
          </cell>
          <cell r="S38">
            <v>0.1152116</v>
          </cell>
          <cell r="T38">
            <v>1152.116</v>
          </cell>
          <cell r="U38">
            <v>0.0545</v>
          </cell>
          <cell r="V38">
            <v>545</v>
          </cell>
          <cell r="W38">
            <v>0.060645</v>
          </cell>
          <cell r="X38">
            <v>606.45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6.66e-5</v>
          </cell>
          <cell r="AD38">
            <v>0.666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1152.116</v>
          </cell>
          <cell r="AL38">
            <v>-0.0397884</v>
          </cell>
          <cell r="AM38">
            <v>74.330064516129</v>
          </cell>
          <cell r="AN38">
            <v>473.137973137973</v>
          </cell>
          <cell r="AO38">
            <v>30.8418550364604</v>
          </cell>
          <cell r="AP38">
            <v>-442.296118101513</v>
          </cell>
          <cell r="AQ38">
            <v>6.51857529673834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</row>
        <row r="39">
          <cell r="A39" t="str">
            <v>B247路</v>
          </cell>
        </row>
        <row r="39">
          <cell r="C39">
            <v>7</v>
          </cell>
          <cell r="D39">
            <v>3.5924499640289</v>
          </cell>
          <cell r="E39">
            <v>3.466749</v>
          </cell>
          <cell r="F39">
            <v>3.466749</v>
          </cell>
          <cell r="G39">
            <v>0</v>
          </cell>
          <cell r="H39">
            <v>-0.1257009640289</v>
          </cell>
          <cell r="I39">
            <v>96.5009682726958</v>
          </cell>
          <cell r="J39">
            <v>780</v>
          </cell>
          <cell r="K39">
            <v>742</v>
          </cell>
          <cell r="L39">
            <v>-38</v>
          </cell>
          <cell r="M39">
            <v>95.1282051282051</v>
          </cell>
          <cell r="N39">
            <v>5.57463070026087</v>
          </cell>
          <cell r="O39">
            <v>3.732</v>
          </cell>
          <cell r="P39">
            <v>-1.84263070026087</v>
          </cell>
          <cell r="Q39">
            <v>66.9461386890679</v>
          </cell>
          <cell r="R39">
            <v>5.94885351438182</v>
          </cell>
          <cell r="S39">
            <v>4.8312824</v>
          </cell>
          <cell r="T39">
            <v>48312.824</v>
          </cell>
          <cell r="U39">
            <v>0.8302</v>
          </cell>
          <cell r="V39">
            <v>8302</v>
          </cell>
          <cell r="W39">
            <v>3.928115</v>
          </cell>
          <cell r="X39">
            <v>39281.15</v>
          </cell>
          <cell r="Y39">
            <v>0.0176</v>
          </cell>
          <cell r="Z39">
            <v>176</v>
          </cell>
          <cell r="AA39">
            <v>0.0027</v>
          </cell>
          <cell r="AB39">
            <v>27</v>
          </cell>
          <cell r="AC39">
            <v>0.0525474</v>
          </cell>
          <cell r="AD39">
            <v>525.474</v>
          </cell>
          <cell r="AE39">
            <v>0</v>
          </cell>
          <cell r="AF39">
            <v>0</v>
          </cell>
          <cell r="AG39">
            <v>0.00012</v>
          </cell>
          <cell r="AH39">
            <v>1.2</v>
          </cell>
          <cell r="AI39">
            <v>0</v>
          </cell>
          <cell r="AJ39">
            <v>0</v>
          </cell>
          <cell r="AK39">
            <v>6901.832</v>
          </cell>
          <cell r="AL39">
            <v>-1.11757111438182</v>
          </cell>
          <cell r="AM39">
            <v>81.2136723205572</v>
          </cell>
          <cell r="AN39">
            <v>165.593218387104</v>
          </cell>
          <cell r="AO39">
            <v>139.360605570233</v>
          </cell>
          <cell r="AP39">
            <v>-26.2326128168709</v>
          </cell>
          <cell r="AQ39">
            <v>84.1584014898802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A40" t="str">
            <v>B292路</v>
          </cell>
        </row>
        <row r="40">
          <cell r="C40">
            <v>20</v>
          </cell>
          <cell r="D40">
            <v>6.98894259574388</v>
          </cell>
          <cell r="E40">
            <v>7.173597</v>
          </cell>
          <cell r="F40">
            <v>7.140201</v>
          </cell>
          <cell r="G40">
            <v>0.033396</v>
          </cell>
          <cell r="H40">
            <v>0.18465440425612</v>
          </cell>
          <cell r="I40">
            <v>102.64209358893</v>
          </cell>
          <cell r="J40">
            <v>1290</v>
          </cell>
          <cell r="K40">
            <v>1300</v>
          </cell>
          <cell r="L40">
            <v>10</v>
          </cell>
          <cell r="M40">
            <v>100.77519379845</v>
          </cell>
          <cell r="N40">
            <v>2.244667751961</v>
          </cell>
          <cell r="O40">
            <v>13.3741</v>
          </cell>
          <cell r="P40">
            <v>11.129432248039</v>
          </cell>
          <cell r="Q40">
            <v>595.816462740021</v>
          </cell>
          <cell r="R40">
            <v>20.597187179254</v>
          </cell>
          <cell r="S40">
            <v>16.8149433965171</v>
          </cell>
          <cell r="T40">
            <v>168149.433965171</v>
          </cell>
          <cell r="U40">
            <v>1.3822</v>
          </cell>
          <cell r="V40">
            <v>13822</v>
          </cell>
          <cell r="W40">
            <v>15.1786</v>
          </cell>
          <cell r="X40">
            <v>151786</v>
          </cell>
          <cell r="Y40">
            <v>0.045</v>
          </cell>
          <cell r="Z40">
            <v>450</v>
          </cell>
          <cell r="AA40">
            <v>0.00354</v>
          </cell>
          <cell r="AB40">
            <v>35.4</v>
          </cell>
          <cell r="AC40">
            <v>0.1153512</v>
          </cell>
          <cell r="AD40">
            <v>1153.512</v>
          </cell>
          <cell r="AE40">
            <v>0</v>
          </cell>
          <cell r="AF40">
            <v>0</v>
          </cell>
          <cell r="AG40">
            <v>0.00102</v>
          </cell>
          <cell r="AH40">
            <v>10.2</v>
          </cell>
          <cell r="AI40">
            <v>0.0892321965170718</v>
          </cell>
          <cell r="AJ40">
            <v>892.321965170718</v>
          </cell>
          <cell r="AK40">
            <v>8407.47169825854</v>
          </cell>
          <cell r="AL40">
            <v>-3.78224378273691</v>
          </cell>
          <cell r="AM40">
            <v>81.6370859291579</v>
          </cell>
          <cell r="AN40">
            <v>294.711065330501</v>
          </cell>
          <cell r="AO40">
            <v>234.400446477786</v>
          </cell>
          <cell r="AP40">
            <v>-60.3106188527152</v>
          </cell>
          <cell r="AQ40">
            <v>79.5356788571612</v>
          </cell>
          <cell r="AR40">
            <v>393</v>
          </cell>
          <cell r="AS40">
            <v>892.321965170718</v>
          </cell>
          <cell r="AT40">
            <v>0</v>
          </cell>
          <cell r="AU40">
            <v>0</v>
          </cell>
        </row>
        <row r="41">
          <cell r="A41" t="str">
            <v>18292路</v>
          </cell>
        </row>
        <row r="41">
          <cell r="C41">
            <v>0</v>
          </cell>
          <cell r="D41">
            <v>0</v>
          </cell>
          <cell r="E41">
            <v>0.407657</v>
          </cell>
          <cell r="F41">
            <v>0.407657</v>
          </cell>
          <cell r="G41">
            <v>0</v>
          </cell>
          <cell r="H41">
            <v>0.407657</v>
          </cell>
          <cell r="I41" t="e">
            <v>#DIV/0!</v>
          </cell>
          <cell r="J41">
            <v>176</v>
          </cell>
          <cell r="K41">
            <v>176.5</v>
          </cell>
          <cell r="L41">
            <v>0.5</v>
          </cell>
          <cell r="M41">
            <v>100.284090909091</v>
          </cell>
          <cell r="N41">
            <v>0</v>
          </cell>
          <cell r="O41">
            <v>1.392</v>
          </cell>
          <cell r="P41">
            <v>1.392</v>
          </cell>
          <cell r="Q41" t="e">
            <v>#DIV/0!</v>
          </cell>
          <cell r="R41">
            <v>0</v>
          </cell>
          <cell r="S41">
            <v>1.9909518</v>
          </cell>
          <cell r="T41">
            <v>19909.518</v>
          </cell>
          <cell r="U41">
            <v>0.1336</v>
          </cell>
          <cell r="V41">
            <v>1336</v>
          </cell>
          <cell r="W41">
            <v>1.8473</v>
          </cell>
          <cell r="X41">
            <v>18473</v>
          </cell>
          <cell r="Y41">
            <v>0.0018</v>
          </cell>
          <cell r="Z41">
            <v>18</v>
          </cell>
          <cell r="AA41">
            <v>6e-5</v>
          </cell>
          <cell r="AB41">
            <v>0.6</v>
          </cell>
          <cell r="AC41">
            <v>0.0081918</v>
          </cell>
          <cell r="AD41">
            <v>81.918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 t="e">
            <v>#DIV/0!</v>
          </cell>
          <cell r="AL41">
            <v>1.9909518</v>
          </cell>
          <cell r="AM41" t="e">
            <v>#DIV/0!</v>
          </cell>
          <cell r="AN41" t="e">
            <v>#DIV/0!</v>
          </cell>
          <cell r="AO41">
            <v>488.38896425181</v>
          </cell>
          <cell r="AP41" t="e">
            <v>#DIV/0!</v>
          </cell>
          <cell r="AQ41" t="e">
            <v>#DIV/0!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</row>
        <row r="42">
          <cell r="A42" t="str">
            <v>26路</v>
          </cell>
        </row>
        <row r="42">
          <cell r="C42">
            <v>23</v>
          </cell>
          <cell r="D42">
            <v>8.76194366970729</v>
          </cell>
          <cell r="E42">
            <v>9.161488</v>
          </cell>
          <cell r="F42">
            <v>8.93789</v>
          </cell>
          <cell r="G42">
            <v>0.223598</v>
          </cell>
          <cell r="H42">
            <v>0.399544330292711</v>
          </cell>
          <cell r="I42">
            <v>104.559996564165</v>
          </cell>
          <cell r="J42">
            <v>2547</v>
          </cell>
          <cell r="K42">
            <v>2647.5</v>
          </cell>
          <cell r="L42">
            <v>100.5</v>
          </cell>
          <cell r="M42">
            <v>103.94581861013</v>
          </cell>
          <cell r="N42">
            <v>33.7974390323603</v>
          </cell>
          <cell r="O42">
            <v>37.6357</v>
          </cell>
          <cell r="P42">
            <v>3.83826096763971</v>
          </cell>
          <cell r="Q42">
            <v>111.35666215409</v>
          </cell>
          <cell r="R42">
            <v>44.8943201706865</v>
          </cell>
          <cell r="S42">
            <v>45.3749774869857</v>
          </cell>
          <cell r="T42">
            <v>453749.774869857</v>
          </cell>
          <cell r="U42">
            <v>8.0542</v>
          </cell>
          <cell r="V42">
            <v>80542</v>
          </cell>
          <cell r="W42">
            <v>35.220335</v>
          </cell>
          <cell r="X42">
            <v>352203.35</v>
          </cell>
          <cell r="Y42">
            <v>0.1312</v>
          </cell>
          <cell r="Z42">
            <v>1312</v>
          </cell>
          <cell r="AA42">
            <v>0.00012</v>
          </cell>
          <cell r="AB42">
            <v>1.2</v>
          </cell>
          <cell r="AC42">
            <v>0.4157505</v>
          </cell>
          <cell r="AD42">
            <v>4157.505</v>
          </cell>
          <cell r="AE42">
            <v>0</v>
          </cell>
          <cell r="AF42">
            <v>0</v>
          </cell>
          <cell r="AG42">
            <v>0.00288</v>
          </cell>
          <cell r="AH42">
            <v>28.8</v>
          </cell>
          <cell r="AI42">
            <v>1.55049198698575</v>
          </cell>
          <cell r="AJ42">
            <v>15504.9198698575</v>
          </cell>
          <cell r="AK42">
            <v>19728.2510812982</v>
          </cell>
          <cell r="AL42">
            <v>0.480657316299258</v>
          </cell>
          <cell r="AM42">
            <v>101.070641708064</v>
          </cell>
          <cell r="AN42">
            <v>512.378552785038</v>
          </cell>
          <cell r="AO42">
            <v>495.279560339824</v>
          </cell>
          <cell r="AP42">
            <v>-17.0989924452142</v>
          </cell>
          <cell r="AQ42">
            <v>96.6628204181708</v>
          </cell>
          <cell r="AR42">
            <v>4209</v>
          </cell>
          <cell r="AS42">
            <v>15004.9198698575</v>
          </cell>
          <cell r="AT42">
            <v>30</v>
          </cell>
          <cell r="AU42">
            <v>500</v>
          </cell>
        </row>
        <row r="43">
          <cell r="A43" t="str">
            <v>41路</v>
          </cell>
        </row>
        <row r="43">
          <cell r="C43">
            <v>14</v>
          </cell>
          <cell r="D43">
            <v>6.69248919161021</v>
          </cell>
          <cell r="E43">
            <v>6.18681</v>
          </cell>
          <cell r="F43">
            <v>5.826801</v>
          </cell>
          <cell r="G43">
            <v>0.360009</v>
          </cell>
          <cell r="H43">
            <v>-0.505679191610209</v>
          </cell>
          <cell r="I43">
            <v>92.4440790693523</v>
          </cell>
          <cell r="J43">
            <v>1720</v>
          </cell>
          <cell r="K43">
            <v>1788</v>
          </cell>
          <cell r="L43">
            <v>68</v>
          </cell>
          <cell r="M43">
            <v>103.953488372093</v>
          </cell>
          <cell r="N43">
            <v>26.017961268887</v>
          </cell>
          <cell r="O43">
            <v>21.2442</v>
          </cell>
          <cell r="P43">
            <v>-4.77376126888705</v>
          </cell>
          <cell r="Q43">
            <v>81.6520548264647</v>
          </cell>
          <cell r="R43">
            <v>29.5426195697522</v>
          </cell>
          <cell r="S43">
            <v>25.7108155699978</v>
          </cell>
          <cell r="T43">
            <v>257108.155699978</v>
          </cell>
          <cell r="U43">
            <v>4.9242</v>
          </cell>
          <cell r="V43">
            <v>49242</v>
          </cell>
          <cell r="W43">
            <v>18.23464</v>
          </cell>
          <cell r="X43">
            <v>182346.4</v>
          </cell>
          <cell r="Y43">
            <v>0.0854</v>
          </cell>
          <cell r="Z43">
            <v>854</v>
          </cell>
          <cell r="AA43">
            <v>0</v>
          </cell>
          <cell r="AB43">
            <v>0</v>
          </cell>
          <cell r="AC43">
            <v>0.1930401</v>
          </cell>
          <cell r="AD43">
            <v>1930.401</v>
          </cell>
          <cell r="AE43">
            <v>0</v>
          </cell>
          <cell r="AF43">
            <v>0</v>
          </cell>
          <cell r="AG43">
            <v>0.00174</v>
          </cell>
          <cell r="AH43">
            <v>17.4</v>
          </cell>
          <cell r="AI43">
            <v>2.2717954699978</v>
          </cell>
          <cell r="AJ43">
            <v>22717.954699978</v>
          </cell>
          <cell r="AK43">
            <v>18364.8682642841</v>
          </cell>
          <cell r="AL43">
            <v>-3.83180399975445</v>
          </cell>
          <cell r="AM43">
            <v>87.0295726798794</v>
          </cell>
          <cell r="AN43">
            <v>441.429470021218</v>
          </cell>
          <cell r="AO43">
            <v>415.574675317293</v>
          </cell>
          <cell r="AP43">
            <v>-25.8547947039253</v>
          </cell>
          <cell r="AQ43">
            <v>94.142938689009</v>
          </cell>
          <cell r="AR43">
            <v>5949</v>
          </cell>
          <cell r="AS43">
            <v>21217.954699978</v>
          </cell>
          <cell r="AT43">
            <v>60</v>
          </cell>
          <cell r="AU43">
            <v>1500</v>
          </cell>
        </row>
        <row r="44">
          <cell r="A44" t="str">
            <v>42路</v>
          </cell>
        </row>
        <row r="44">
          <cell r="C44">
            <v>12</v>
          </cell>
          <cell r="D44">
            <v>4.44983120462821</v>
          </cell>
          <cell r="E44">
            <v>4.345383</v>
          </cell>
          <cell r="F44">
            <v>4.293023</v>
          </cell>
          <cell r="G44">
            <v>0.05236</v>
          </cell>
          <cell r="H44">
            <v>-0.10444820462821</v>
          </cell>
          <cell r="I44">
            <v>97.652760299771</v>
          </cell>
          <cell r="J44">
            <v>1378</v>
          </cell>
          <cell r="K44">
            <v>1419.5</v>
          </cell>
          <cell r="L44">
            <v>41.5</v>
          </cell>
          <cell r="M44">
            <v>103.011611030479</v>
          </cell>
          <cell r="N44">
            <v>17.5204996778669</v>
          </cell>
          <cell r="O44">
            <v>17.1876</v>
          </cell>
          <cell r="P44">
            <v>-0.332899677866919</v>
          </cell>
          <cell r="Q44">
            <v>98.0999418738755</v>
          </cell>
          <cell r="R44">
            <v>22.7681510170952</v>
          </cell>
          <cell r="S44">
            <v>19.8047829</v>
          </cell>
          <cell r="T44">
            <v>198047.829</v>
          </cell>
          <cell r="U44">
            <v>2.8583</v>
          </cell>
          <cell r="V44">
            <v>28583</v>
          </cell>
          <cell r="W44">
            <v>15.91235</v>
          </cell>
          <cell r="X44">
            <v>159123.5</v>
          </cell>
          <cell r="Y44">
            <v>0.0528</v>
          </cell>
          <cell r="Z44">
            <v>528</v>
          </cell>
          <cell r="AA44">
            <v>0.00024</v>
          </cell>
          <cell r="AB44">
            <v>2.4</v>
          </cell>
          <cell r="AC44">
            <v>0.0896769</v>
          </cell>
          <cell r="AD44">
            <v>896.769</v>
          </cell>
          <cell r="AE44">
            <v>0</v>
          </cell>
          <cell r="AF44">
            <v>0</v>
          </cell>
          <cell r="AG44">
            <v>0.00216</v>
          </cell>
          <cell r="AH44">
            <v>21.6</v>
          </cell>
          <cell r="AI44">
            <v>0.889256</v>
          </cell>
          <cell r="AJ44">
            <v>8892.56</v>
          </cell>
          <cell r="AK44">
            <v>16503.98575</v>
          </cell>
          <cell r="AL44">
            <v>-2.96336811709524</v>
          </cell>
          <cell r="AM44">
            <v>86.9845903829862</v>
          </cell>
          <cell r="AN44">
            <v>511.663251258034</v>
          </cell>
          <cell r="AO44">
            <v>455.766106232753</v>
          </cell>
          <cell r="AP44">
            <v>-55.8971450252808</v>
          </cell>
          <cell r="AQ44">
            <v>89.0754036198915</v>
          </cell>
          <cell r="AR44">
            <v>2640</v>
          </cell>
          <cell r="AS44">
            <v>6192.56</v>
          </cell>
          <cell r="AT44">
            <v>150</v>
          </cell>
          <cell r="AU44">
            <v>2700</v>
          </cell>
        </row>
        <row r="45">
          <cell r="A45" t="str">
            <v>50路</v>
          </cell>
        </row>
        <row r="45">
          <cell r="C45">
            <v>11</v>
          </cell>
          <cell r="D45">
            <v>4.45300096222457</v>
          </cell>
          <cell r="E45">
            <v>4.356734</v>
          </cell>
          <cell r="F45">
            <v>4.251226</v>
          </cell>
          <cell r="G45">
            <v>0.105508</v>
          </cell>
          <cell r="H45">
            <v>-0.0962669622245702</v>
          </cell>
          <cell r="I45">
            <v>97.8381553689025</v>
          </cell>
          <cell r="J45">
            <v>1184</v>
          </cell>
          <cell r="K45">
            <v>1256.5</v>
          </cell>
          <cell r="L45">
            <v>72.5</v>
          </cell>
          <cell r="M45">
            <v>106.123310810811</v>
          </cell>
          <cell r="N45">
            <v>19.8063331962571</v>
          </cell>
          <cell r="O45">
            <v>15.7972</v>
          </cell>
          <cell r="P45">
            <v>-4.00913319625706</v>
          </cell>
          <cell r="Q45">
            <v>79.7583270132268</v>
          </cell>
          <cell r="R45">
            <v>19.4304104156202</v>
          </cell>
          <cell r="S45">
            <v>17.7144186035833</v>
          </cell>
          <cell r="T45">
            <v>177144.186035833</v>
          </cell>
          <cell r="U45">
            <v>3.0266</v>
          </cell>
          <cell r="V45">
            <v>30266</v>
          </cell>
          <cell r="W45">
            <v>13.009305</v>
          </cell>
          <cell r="X45">
            <v>130093.05</v>
          </cell>
          <cell r="Y45">
            <v>0.0612</v>
          </cell>
          <cell r="Z45">
            <v>612</v>
          </cell>
          <cell r="AA45">
            <v>0.00624</v>
          </cell>
          <cell r="AB45">
            <v>62.4</v>
          </cell>
          <cell r="AC45">
            <v>0.2741922</v>
          </cell>
          <cell r="AD45">
            <v>2741.922</v>
          </cell>
          <cell r="AE45">
            <v>0</v>
          </cell>
          <cell r="AF45">
            <v>0</v>
          </cell>
          <cell r="AG45">
            <v>0.00222</v>
          </cell>
          <cell r="AH45">
            <v>22.2</v>
          </cell>
          <cell r="AI45">
            <v>1.33466140358331</v>
          </cell>
          <cell r="AJ45">
            <v>13346.6140358331</v>
          </cell>
          <cell r="AK45">
            <v>16104.0169123485</v>
          </cell>
          <cell r="AL45">
            <v>-1.71599181203686</v>
          </cell>
          <cell r="AM45">
            <v>91.1685251349227</v>
          </cell>
          <cell r="AN45">
            <v>436.344177341327</v>
          </cell>
          <cell r="AO45">
            <v>406.598580578555</v>
          </cell>
          <cell r="AP45">
            <v>-29.7455967627717</v>
          </cell>
          <cell r="AQ45">
            <v>93.1829967471977</v>
          </cell>
          <cell r="AR45">
            <v>2845</v>
          </cell>
          <cell r="AS45">
            <v>13346.6140358331</v>
          </cell>
          <cell r="AT45">
            <v>0</v>
          </cell>
          <cell r="AU45">
            <v>0</v>
          </cell>
        </row>
        <row r="46">
          <cell r="A46" t="str">
            <v>81路</v>
          </cell>
        </row>
        <row r="46">
          <cell r="C46">
            <v>7</v>
          </cell>
          <cell r="D46">
            <v>3.37736279214443</v>
          </cell>
          <cell r="E46">
            <v>3.16079</v>
          </cell>
          <cell r="F46">
            <v>3.157615</v>
          </cell>
          <cell r="G46">
            <v>0.003175</v>
          </cell>
          <cell r="H46">
            <v>-0.21657279214443</v>
          </cell>
          <cell r="I46">
            <v>93.5875176736072</v>
          </cell>
          <cell r="J46">
            <v>1260</v>
          </cell>
          <cell r="K46">
            <v>1273.5</v>
          </cell>
          <cell r="L46">
            <v>13.5</v>
          </cell>
          <cell r="M46">
            <v>101.071428571429</v>
          </cell>
          <cell r="N46">
            <v>12.2654291870291</v>
          </cell>
          <cell r="O46">
            <v>9.9988</v>
          </cell>
          <cell r="P46">
            <v>-2.26662918702908</v>
          </cell>
          <cell r="Q46">
            <v>81.5201803991818</v>
          </cell>
          <cell r="R46">
            <v>13.1371675296408</v>
          </cell>
          <cell r="S46">
            <v>11.2526669</v>
          </cell>
          <cell r="T46">
            <v>112526.669</v>
          </cell>
          <cell r="U46">
            <v>1.4017</v>
          </cell>
          <cell r="V46">
            <v>14017</v>
          </cell>
          <cell r="W46">
            <v>9.644715</v>
          </cell>
          <cell r="X46">
            <v>96447.15</v>
          </cell>
          <cell r="Y46">
            <v>0.037</v>
          </cell>
          <cell r="Z46">
            <v>370</v>
          </cell>
          <cell r="AA46">
            <v>0</v>
          </cell>
          <cell r="AB46">
            <v>0</v>
          </cell>
          <cell r="AC46">
            <v>0.1079919</v>
          </cell>
          <cell r="AD46">
            <v>1079.919</v>
          </cell>
          <cell r="AE46">
            <v>0</v>
          </cell>
          <cell r="AF46">
            <v>0</v>
          </cell>
          <cell r="AG46">
            <v>0.00126</v>
          </cell>
          <cell r="AH46">
            <v>12.6</v>
          </cell>
          <cell r="AI46">
            <v>0.06</v>
          </cell>
          <cell r="AJ46">
            <v>600</v>
          </cell>
          <cell r="AK46">
            <v>16075.2384285714</v>
          </cell>
          <cell r="AL46">
            <v>-1.88450062964076</v>
          </cell>
          <cell r="AM46">
            <v>85.6551983112885</v>
          </cell>
          <cell r="AN46">
            <v>388.977090651828</v>
          </cell>
          <cell r="AO46">
            <v>356.008051784522</v>
          </cell>
          <cell r="AP46">
            <v>-32.9690388673063</v>
          </cell>
          <cell r="AQ46">
            <v>91.5241695051864</v>
          </cell>
          <cell r="AR46">
            <v>0</v>
          </cell>
          <cell r="AS46">
            <v>0</v>
          </cell>
          <cell r="AT46">
            <v>30</v>
          </cell>
          <cell r="AU46">
            <v>600</v>
          </cell>
        </row>
        <row r="47">
          <cell r="A47" t="str">
            <v>82路</v>
          </cell>
        </row>
        <row r="47">
          <cell r="C47">
            <v>8</v>
          </cell>
          <cell r="D47">
            <v>3.25993286265519</v>
          </cell>
          <cell r="E47">
            <v>3.19493</v>
          </cell>
          <cell r="F47">
            <v>3.111695</v>
          </cell>
          <cell r="G47">
            <v>0.083235</v>
          </cell>
          <cell r="H47">
            <v>-0.0650028626551902</v>
          </cell>
          <cell r="I47">
            <v>98.0060060929523</v>
          </cell>
          <cell r="J47">
            <v>1258</v>
          </cell>
          <cell r="K47">
            <v>1304</v>
          </cell>
          <cell r="L47">
            <v>46</v>
          </cell>
          <cell r="M47">
            <v>103.656597774245</v>
          </cell>
          <cell r="N47">
            <v>11.9891588020351</v>
          </cell>
          <cell r="O47">
            <v>9.678</v>
          </cell>
          <cell r="P47">
            <v>-2.31115880203507</v>
          </cell>
          <cell r="Q47">
            <v>80.722927770022</v>
          </cell>
          <cell r="R47">
            <v>12.9793435282203</v>
          </cell>
          <cell r="S47">
            <v>11.5501770518751</v>
          </cell>
          <cell r="T47">
            <v>115501.770518751</v>
          </cell>
          <cell r="U47">
            <v>1.2622</v>
          </cell>
          <cell r="V47">
            <v>12622</v>
          </cell>
          <cell r="W47">
            <v>9.86386</v>
          </cell>
          <cell r="X47">
            <v>98638.6</v>
          </cell>
          <cell r="Y47">
            <v>0.0416</v>
          </cell>
          <cell r="Z47">
            <v>416</v>
          </cell>
          <cell r="AA47">
            <v>0.00012</v>
          </cell>
          <cell r="AB47">
            <v>1.2</v>
          </cell>
          <cell r="AC47">
            <v>0.1178487</v>
          </cell>
          <cell r="AD47">
            <v>1178.487</v>
          </cell>
          <cell r="AE47">
            <v>0</v>
          </cell>
          <cell r="AF47">
            <v>0</v>
          </cell>
          <cell r="AG47">
            <v>0.00138</v>
          </cell>
          <cell r="AH47">
            <v>13.8</v>
          </cell>
          <cell r="AI47">
            <v>0.263168351875111</v>
          </cell>
          <cell r="AJ47">
            <v>2631.68351875111</v>
          </cell>
          <cell r="AK47">
            <v>14437.7213148439</v>
          </cell>
          <cell r="AL47">
            <v>-1.42916647634519</v>
          </cell>
          <cell r="AM47">
            <v>88.988915554644</v>
          </cell>
          <cell r="AN47">
            <v>398.147571592892</v>
          </cell>
          <cell r="AO47">
            <v>361.515809481745</v>
          </cell>
          <cell r="AP47">
            <v>-36.6317621111476</v>
          </cell>
          <cell r="AQ47">
            <v>90.7994510767471</v>
          </cell>
          <cell r="AR47">
            <v>768</v>
          </cell>
          <cell r="AS47">
            <v>2631.68351875111</v>
          </cell>
          <cell r="AT47">
            <v>0</v>
          </cell>
          <cell r="AU47">
            <v>0</v>
          </cell>
        </row>
        <row r="48">
          <cell r="A48" t="str">
            <v>64路</v>
          </cell>
        </row>
        <row r="48">
          <cell r="C48">
            <v>11</v>
          </cell>
          <cell r="D48">
            <v>5.37505643006497</v>
          </cell>
          <cell r="E48">
            <v>4.519286</v>
          </cell>
          <cell r="F48">
            <v>4.429846</v>
          </cell>
          <cell r="G48">
            <v>0.08944</v>
          </cell>
          <cell r="H48">
            <v>-0.85577043006497</v>
          </cell>
          <cell r="I48">
            <v>84.0788568231901</v>
          </cell>
          <cell r="J48">
            <v>1332</v>
          </cell>
          <cell r="K48">
            <v>1326</v>
          </cell>
          <cell r="L48">
            <v>-6</v>
          </cell>
          <cell r="M48">
            <v>99.5495495495496</v>
          </cell>
          <cell r="N48">
            <v>8.60853316519068</v>
          </cell>
          <cell r="O48">
            <v>9.0132</v>
          </cell>
          <cell r="P48">
            <v>0.404666834809321</v>
          </cell>
          <cell r="Q48">
            <v>104.700764079595</v>
          </cell>
          <cell r="R48">
            <v>15.900571636024</v>
          </cell>
          <cell r="S48">
            <v>12.2148455525195</v>
          </cell>
          <cell r="T48">
            <v>122148.455525195</v>
          </cell>
          <cell r="U48">
            <v>1.9694</v>
          </cell>
          <cell r="V48">
            <v>19694</v>
          </cell>
          <cell r="W48">
            <v>9.345805</v>
          </cell>
          <cell r="X48">
            <v>93458.05</v>
          </cell>
          <cell r="Y48">
            <v>0.0272</v>
          </cell>
          <cell r="Z48">
            <v>272</v>
          </cell>
          <cell r="AA48">
            <v>0</v>
          </cell>
          <cell r="AB48">
            <v>0</v>
          </cell>
          <cell r="AC48">
            <v>0.1249416</v>
          </cell>
          <cell r="AD48">
            <v>1249.416</v>
          </cell>
          <cell r="AE48">
            <v>0</v>
          </cell>
          <cell r="AF48">
            <v>0</v>
          </cell>
          <cell r="AG48">
            <v>0.00018</v>
          </cell>
          <cell r="AH48">
            <v>1.8</v>
          </cell>
          <cell r="AI48">
            <v>0.747318952519495</v>
          </cell>
          <cell r="AJ48">
            <v>7473.18952519495</v>
          </cell>
          <cell r="AK48">
            <v>11104.405047745</v>
          </cell>
          <cell r="AL48">
            <v>-3.68572608350447</v>
          </cell>
          <cell r="AM48">
            <v>76.8201661684026</v>
          </cell>
          <cell r="AN48">
            <v>295.821482860818</v>
          </cell>
          <cell r="AO48">
            <v>270.282640941943</v>
          </cell>
          <cell r="AP48">
            <v>-25.5388419188755</v>
          </cell>
          <cell r="AQ48">
            <v>91.366806199504</v>
          </cell>
          <cell r="AR48">
            <v>1339</v>
          </cell>
          <cell r="AS48">
            <v>4773.18952519495</v>
          </cell>
          <cell r="AT48">
            <v>120</v>
          </cell>
          <cell r="AU48">
            <v>2700</v>
          </cell>
        </row>
        <row r="49">
          <cell r="A49" t="str">
            <v>239路</v>
          </cell>
        </row>
        <row r="49">
          <cell r="C49">
            <v>6</v>
          </cell>
          <cell r="D49">
            <v>2.65625451184647</v>
          </cell>
          <cell r="E49">
            <v>3.0493</v>
          </cell>
          <cell r="F49">
            <v>3.0493</v>
          </cell>
          <cell r="G49">
            <v>0</v>
          </cell>
          <cell r="H49">
            <v>0.39304548815353</v>
          </cell>
          <cell r="I49">
            <v>114.796981479019</v>
          </cell>
          <cell r="J49">
            <v>496</v>
          </cell>
          <cell r="K49">
            <v>483</v>
          </cell>
          <cell r="L49">
            <v>-13</v>
          </cell>
          <cell r="M49">
            <v>97.3790322580645</v>
          </cell>
          <cell r="N49">
            <v>6.09185617142406</v>
          </cell>
          <cell r="O49">
            <v>5.2519</v>
          </cell>
          <cell r="P49">
            <v>-0.839956171424056</v>
          </cell>
          <cell r="Q49">
            <v>86.2118187332761</v>
          </cell>
          <cell r="R49">
            <v>8.63951557301645</v>
          </cell>
          <cell r="S49">
            <v>7.4744922</v>
          </cell>
          <cell r="T49">
            <v>74744.922</v>
          </cell>
          <cell r="U49">
            <v>1.3918</v>
          </cell>
          <cell r="V49">
            <v>13918</v>
          </cell>
          <cell r="W49">
            <v>6.02707</v>
          </cell>
          <cell r="X49">
            <v>60270.7</v>
          </cell>
          <cell r="Y49">
            <v>0.0166</v>
          </cell>
          <cell r="Z49">
            <v>166</v>
          </cell>
          <cell r="AA49">
            <v>0</v>
          </cell>
          <cell r="AB49">
            <v>0</v>
          </cell>
          <cell r="AC49">
            <v>0.0377622</v>
          </cell>
          <cell r="AD49">
            <v>377.622</v>
          </cell>
          <cell r="AE49">
            <v>0</v>
          </cell>
          <cell r="AF49">
            <v>0</v>
          </cell>
          <cell r="AG49">
            <v>0.00126</v>
          </cell>
          <cell r="AH49">
            <v>12.6</v>
          </cell>
          <cell r="AI49">
            <v>0</v>
          </cell>
          <cell r="AJ49">
            <v>0</v>
          </cell>
          <cell r="AK49">
            <v>12457.487</v>
          </cell>
          <cell r="AL49">
            <v>-1.16502337301645</v>
          </cell>
          <cell r="AM49">
            <v>86.5151771164678</v>
          </cell>
          <cell r="AN49">
            <v>325.251798518764</v>
          </cell>
          <cell r="AO49">
            <v>245.121575443544</v>
          </cell>
          <cell r="AP49">
            <v>-80.1302230752191</v>
          </cell>
          <cell r="AQ49">
            <v>75.3636341320349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</row>
        <row r="50">
          <cell r="A50" t="str">
            <v>250路</v>
          </cell>
        </row>
        <row r="50">
          <cell r="C50">
            <v>13</v>
          </cell>
          <cell r="D50">
            <v>5.55607200695172</v>
          </cell>
          <cell r="E50">
            <v>5.512076</v>
          </cell>
          <cell r="F50">
            <v>5.492122</v>
          </cell>
          <cell r="G50">
            <v>0.019954</v>
          </cell>
          <cell r="H50">
            <v>-0.04399600695172</v>
          </cell>
          <cell r="I50">
            <v>99.2081454866555</v>
          </cell>
          <cell r="J50">
            <v>944</v>
          </cell>
          <cell r="K50">
            <v>935.5</v>
          </cell>
          <cell r="L50">
            <v>-8.5</v>
          </cell>
          <cell r="M50">
            <v>99.0995762711864</v>
          </cell>
          <cell r="N50">
            <v>13.5859801987094</v>
          </cell>
          <cell r="O50">
            <v>12.8203</v>
          </cell>
          <cell r="P50">
            <v>-0.765680198709406</v>
          </cell>
          <cell r="Q50">
            <v>94.3641887628974</v>
          </cell>
          <cell r="R50">
            <v>19.6044459257038</v>
          </cell>
          <cell r="S50">
            <v>17.1537255714286</v>
          </cell>
          <cell r="T50">
            <v>171537.255714286</v>
          </cell>
          <cell r="U50">
            <v>4.5146</v>
          </cell>
          <cell r="V50">
            <v>45146</v>
          </cell>
          <cell r="W50">
            <v>12.34974</v>
          </cell>
          <cell r="X50">
            <v>123497.4</v>
          </cell>
          <cell r="Y50">
            <v>0.0518</v>
          </cell>
          <cell r="Z50">
            <v>518</v>
          </cell>
          <cell r="AA50">
            <v>0.00078</v>
          </cell>
          <cell r="AB50">
            <v>7.8</v>
          </cell>
          <cell r="AC50">
            <v>0.129537</v>
          </cell>
          <cell r="AD50">
            <v>1295.37</v>
          </cell>
          <cell r="AE50">
            <v>0</v>
          </cell>
          <cell r="AF50">
            <v>0</v>
          </cell>
          <cell r="AG50">
            <v>0.0024</v>
          </cell>
          <cell r="AH50">
            <v>24</v>
          </cell>
          <cell r="AI50">
            <v>0.104868571428572</v>
          </cell>
          <cell r="AJ50">
            <v>1048.68571428572</v>
          </cell>
          <cell r="AK50">
            <v>13195.1735164835</v>
          </cell>
          <cell r="AL50">
            <v>-2.45072035427527</v>
          </cell>
          <cell r="AM50">
            <v>87.4991603253522</v>
          </cell>
          <cell r="AN50">
            <v>352.847225543061</v>
          </cell>
          <cell r="AO50">
            <v>311.202631665974</v>
          </cell>
          <cell r="AP50">
            <v>-41.6445938770872</v>
          </cell>
          <cell r="AQ50">
            <v>88.1975566584114</v>
          </cell>
          <cell r="AR50">
            <v>142</v>
          </cell>
          <cell r="AS50">
            <v>1048.68571428572</v>
          </cell>
          <cell r="AT50">
            <v>0</v>
          </cell>
          <cell r="AU50">
            <v>0</v>
          </cell>
        </row>
        <row r="51">
          <cell r="A51" t="str">
            <v>315路</v>
          </cell>
        </row>
        <row r="51">
          <cell r="C51">
            <v>5</v>
          </cell>
          <cell r="D51">
            <v>1.88346088841795</v>
          </cell>
          <cell r="E51">
            <v>1.845965</v>
          </cell>
          <cell r="F51">
            <v>1.845965</v>
          </cell>
          <cell r="G51">
            <v>0</v>
          </cell>
          <cell r="H51">
            <v>-0.0374958884179499</v>
          </cell>
          <cell r="I51">
            <v>98.0092027050562</v>
          </cell>
          <cell r="J51">
            <v>810</v>
          </cell>
          <cell r="K51">
            <v>816</v>
          </cell>
          <cell r="L51">
            <v>6</v>
          </cell>
          <cell r="M51">
            <v>100.740740740741</v>
          </cell>
          <cell r="N51">
            <v>6.57193883567937</v>
          </cell>
          <cell r="O51">
            <v>5.333</v>
          </cell>
          <cell r="P51">
            <v>-1.23893883567937</v>
          </cell>
          <cell r="Q51">
            <v>81.1480467688909</v>
          </cell>
          <cell r="R51">
            <v>6.00404724086382</v>
          </cell>
          <cell r="S51">
            <v>5.5362598</v>
          </cell>
          <cell r="T51">
            <v>55362.598</v>
          </cell>
          <cell r="U51">
            <v>1.4373</v>
          </cell>
          <cell r="V51">
            <v>14373</v>
          </cell>
          <cell r="W51">
            <v>3.995325</v>
          </cell>
          <cell r="X51">
            <v>39953.25</v>
          </cell>
          <cell r="Y51">
            <v>0.0316</v>
          </cell>
          <cell r="Z51">
            <v>316</v>
          </cell>
          <cell r="AA51">
            <v>6e-5</v>
          </cell>
          <cell r="AB51">
            <v>0.6</v>
          </cell>
          <cell r="AC51">
            <v>0.0717948</v>
          </cell>
          <cell r="AD51">
            <v>717.948</v>
          </cell>
          <cell r="AE51">
            <v>0</v>
          </cell>
          <cell r="AF51">
            <v>0</v>
          </cell>
          <cell r="AG51">
            <v>0.00018</v>
          </cell>
          <cell r="AH51">
            <v>1.8</v>
          </cell>
          <cell r="AI51">
            <v>0</v>
          </cell>
          <cell r="AJ51">
            <v>0</v>
          </cell>
          <cell r="AK51">
            <v>11072.5196</v>
          </cell>
          <cell r="AL51">
            <v>-0.467787440863822</v>
          </cell>
          <cell r="AM51">
            <v>92.2087981307003</v>
          </cell>
          <cell r="AN51">
            <v>318.777378271287</v>
          </cell>
          <cell r="AO51">
            <v>299.911417605426</v>
          </cell>
          <cell r="AP51">
            <v>-18.8659606658607</v>
          </cell>
          <cell r="AQ51">
            <v>94.0817755738598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A52" t="str">
            <v>10026路</v>
          </cell>
        </row>
        <row r="52">
          <cell r="C52">
            <v>0</v>
          </cell>
          <cell r="D52">
            <v>0</v>
          </cell>
          <cell r="E52">
            <v>3.50000000000023e-5</v>
          </cell>
          <cell r="F52">
            <v>3.50000000000023e-5</v>
          </cell>
          <cell r="G52">
            <v>0</v>
          </cell>
          <cell r="H52">
            <v>3.50000000000023e-5</v>
          </cell>
          <cell r="I52" t="e">
            <v>#DIV/0!</v>
          </cell>
          <cell r="J52">
            <v>0</v>
          </cell>
          <cell r="K52">
            <v>0</v>
          </cell>
          <cell r="L52">
            <v>0</v>
          </cell>
          <cell r="M52" t="e">
            <v>#DIV/0!</v>
          </cell>
          <cell r="N52">
            <v>0</v>
          </cell>
          <cell r="O52">
            <v>0.668</v>
          </cell>
          <cell r="P52">
            <v>0.668</v>
          </cell>
          <cell r="Q52" t="e">
            <v>#DIV/0!</v>
          </cell>
          <cell r="R52">
            <v>0</v>
          </cell>
          <cell r="S52">
            <v>2.9371223</v>
          </cell>
          <cell r="T52">
            <v>29371.223</v>
          </cell>
          <cell r="U52">
            <v>0</v>
          </cell>
          <cell r="V52">
            <v>0</v>
          </cell>
          <cell r="W52">
            <v>2.8992</v>
          </cell>
          <cell r="X52">
            <v>28992</v>
          </cell>
          <cell r="Y52">
            <v>0.0134</v>
          </cell>
          <cell r="Z52">
            <v>134</v>
          </cell>
          <cell r="AA52">
            <v>0</v>
          </cell>
          <cell r="AB52">
            <v>0</v>
          </cell>
          <cell r="AC52">
            <v>0.0243423</v>
          </cell>
          <cell r="AD52">
            <v>243.423</v>
          </cell>
          <cell r="AE52">
            <v>0</v>
          </cell>
          <cell r="AF52">
            <v>0</v>
          </cell>
          <cell r="AG52">
            <v>0.00018</v>
          </cell>
          <cell r="AH52">
            <v>1.8</v>
          </cell>
          <cell r="AI52">
            <v>0</v>
          </cell>
          <cell r="AJ52">
            <v>0</v>
          </cell>
          <cell r="AK52" t="e">
            <v>#DIV/0!</v>
          </cell>
          <cell r="AL52">
            <v>2.9371223</v>
          </cell>
          <cell r="AM52" t="e">
            <v>#DIV/0!</v>
          </cell>
          <cell r="AN52" t="e">
            <v>#DIV/0!</v>
          </cell>
          <cell r="AO52">
            <v>8391777.99999945</v>
          </cell>
          <cell r="AP52" t="e">
            <v>#DIV/0!</v>
          </cell>
          <cell r="AQ52" t="e">
            <v>#DIV/0!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</row>
        <row r="53">
          <cell r="A53" t="str">
            <v>10250路</v>
          </cell>
        </row>
        <row r="53">
          <cell r="D53">
            <v>0</v>
          </cell>
          <cell r="E53">
            <v>0.821801</v>
          </cell>
          <cell r="F53">
            <v>0.821801</v>
          </cell>
          <cell r="G53">
            <v>0</v>
          </cell>
          <cell r="H53">
            <v>0.821801</v>
          </cell>
          <cell r="I53" t="e">
            <v>#DIV/0!</v>
          </cell>
          <cell r="J53">
            <v>176</v>
          </cell>
          <cell r="K53">
            <v>195.5</v>
          </cell>
          <cell r="L53">
            <v>19.5</v>
          </cell>
          <cell r="M53">
            <v>111.079545454545</v>
          </cell>
          <cell r="N53">
            <v>0</v>
          </cell>
          <cell r="O53">
            <v>1.4814</v>
          </cell>
          <cell r="P53">
            <v>1.4814</v>
          </cell>
          <cell r="Q53" t="e">
            <v>#DIV/0!</v>
          </cell>
          <cell r="R53">
            <v>0</v>
          </cell>
          <cell r="S53">
            <v>1.8254298</v>
          </cell>
          <cell r="T53">
            <v>18254.298</v>
          </cell>
          <cell r="U53">
            <v>0.3753</v>
          </cell>
          <cell r="V53">
            <v>3753</v>
          </cell>
          <cell r="W53">
            <v>1.4095</v>
          </cell>
          <cell r="X53">
            <v>14095</v>
          </cell>
          <cell r="Y53">
            <v>0.0038</v>
          </cell>
          <cell r="Z53">
            <v>38</v>
          </cell>
          <cell r="AA53">
            <v>0</v>
          </cell>
          <cell r="AB53">
            <v>0</v>
          </cell>
          <cell r="AC53">
            <v>0.0368298</v>
          </cell>
          <cell r="AD53">
            <v>368.298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e">
            <v>#DIV/0!</v>
          </cell>
          <cell r="AL53">
            <v>1.8254298</v>
          </cell>
          <cell r="AM53" t="e">
            <v>#DIV/0!</v>
          </cell>
          <cell r="AN53" t="e">
            <v>#DIV/0!</v>
          </cell>
          <cell r="AO53">
            <v>222.125526739442</v>
          </cell>
          <cell r="AP53" t="e">
            <v>#DIV/0!</v>
          </cell>
          <cell r="AQ53" t="e">
            <v>#DIV/0!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</row>
        <row r="54">
          <cell r="A54" t="str">
            <v>4路</v>
          </cell>
        </row>
        <row r="54">
          <cell r="C54">
            <v>13</v>
          </cell>
          <cell r="D54">
            <v>4.17194466710932</v>
          </cell>
          <cell r="E54">
            <v>3.648317</v>
          </cell>
          <cell r="F54">
            <v>3.429517</v>
          </cell>
          <cell r="G54">
            <v>0.2188</v>
          </cell>
          <cell r="H54">
            <v>-0.52362766710932</v>
          </cell>
          <cell r="I54">
            <v>87.4488348026885</v>
          </cell>
          <cell r="J54">
            <v>1498</v>
          </cell>
          <cell r="K54">
            <v>1496.5</v>
          </cell>
          <cell r="L54">
            <v>-1.5</v>
          </cell>
          <cell r="M54">
            <v>99.8998664886515</v>
          </cell>
          <cell r="N54">
            <v>19.4531908394471</v>
          </cell>
          <cell r="O54">
            <v>15.7607</v>
          </cell>
          <cell r="P54">
            <v>-3.69249083944711</v>
          </cell>
          <cell r="Q54">
            <v>81.0185852289101</v>
          </cell>
          <cell r="R54">
            <v>20.6685324061543</v>
          </cell>
          <cell r="S54">
            <v>18.9015769</v>
          </cell>
          <cell r="T54">
            <v>189015.769</v>
          </cell>
          <cell r="U54">
            <v>1.6385</v>
          </cell>
          <cell r="V54">
            <v>16385</v>
          </cell>
          <cell r="W54">
            <v>14.363085</v>
          </cell>
          <cell r="X54">
            <v>143630.85</v>
          </cell>
          <cell r="Y54">
            <v>0.06</v>
          </cell>
          <cell r="Z54">
            <v>600</v>
          </cell>
          <cell r="AA54">
            <v>0.00018</v>
          </cell>
          <cell r="AB54">
            <v>1.8</v>
          </cell>
          <cell r="AC54">
            <v>0.0880119</v>
          </cell>
          <cell r="AD54">
            <v>880.119</v>
          </cell>
          <cell r="AE54">
            <v>0</v>
          </cell>
          <cell r="AF54">
            <v>0</v>
          </cell>
          <cell r="AG54">
            <v>0.0018</v>
          </cell>
          <cell r="AH54">
            <v>18</v>
          </cell>
          <cell r="AI54">
            <v>2.75</v>
          </cell>
          <cell r="AJ54">
            <v>27500</v>
          </cell>
          <cell r="AK54">
            <v>14539.6745384615</v>
          </cell>
          <cell r="AL54">
            <v>-1.76695550615429</v>
          </cell>
          <cell r="AM54">
            <v>91.4509870781722</v>
          </cell>
          <cell r="AN54">
            <v>495.417222790618</v>
          </cell>
          <cell r="AO54">
            <v>518.090311231179</v>
          </cell>
          <cell r="AP54">
            <v>22.6730884405604</v>
          </cell>
          <cell r="AQ54">
            <v>104.576564438524</v>
          </cell>
          <cell r="AR54">
            <v>0</v>
          </cell>
          <cell r="AS54">
            <v>0</v>
          </cell>
          <cell r="AT54">
            <v>7480</v>
          </cell>
          <cell r="AU54">
            <v>27500</v>
          </cell>
        </row>
        <row r="55">
          <cell r="A55" t="str">
            <v>22路</v>
          </cell>
        </row>
        <row r="55">
          <cell r="C55">
            <v>8</v>
          </cell>
          <cell r="D55">
            <v>2.34197330310054</v>
          </cell>
          <cell r="E55">
            <v>2.22459</v>
          </cell>
          <cell r="F55">
            <v>2.223796</v>
          </cell>
          <cell r="G55">
            <v>0.000794</v>
          </cell>
          <cell r="H55">
            <v>-0.11738330310054</v>
          </cell>
          <cell r="I55">
            <v>94.9878462344068</v>
          </cell>
          <cell r="J55">
            <v>1078</v>
          </cell>
          <cell r="K55">
            <v>1097</v>
          </cell>
          <cell r="L55">
            <v>19</v>
          </cell>
          <cell r="M55">
            <v>101.762523191095</v>
          </cell>
          <cell r="N55">
            <v>12.223132259431</v>
          </cell>
          <cell r="O55">
            <v>6.7153</v>
          </cell>
          <cell r="P55">
            <v>-5.50783225943104</v>
          </cell>
          <cell r="Q55">
            <v>54.9392729905107</v>
          </cell>
          <cell r="R55">
            <v>11.4773605070613</v>
          </cell>
          <cell r="S55">
            <v>6.6735151</v>
          </cell>
          <cell r="T55">
            <v>66735.151</v>
          </cell>
          <cell r="U55">
            <v>0.9009</v>
          </cell>
          <cell r="V55">
            <v>9009</v>
          </cell>
          <cell r="W55">
            <v>5.69406</v>
          </cell>
          <cell r="X55">
            <v>56940.6</v>
          </cell>
          <cell r="Y55">
            <v>0.0196</v>
          </cell>
          <cell r="Z55">
            <v>196</v>
          </cell>
          <cell r="AA55">
            <v>0.00012</v>
          </cell>
          <cell r="AB55">
            <v>1.2</v>
          </cell>
          <cell r="AC55">
            <v>0.0581751</v>
          </cell>
          <cell r="AD55">
            <v>581.751</v>
          </cell>
          <cell r="AE55">
            <v>0</v>
          </cell>
          <cell r="AF55">
            <v>0</v>
          </cell>
          <cell r="AG55">
            <v>0.00066</v>
          </cell>
          <cell r="AH55">
            <v>6.6</v>
          </cell>
          <cell r="AI55">
            <v>0</v>
          </cell>
          <cell r="AJ55">
            <v>0</v>
          </cell>
          <cell r="AK55">
            <v>8341.893875</v>
          </cell>
          <cell r="AL55">
            <v>-4.80384540706127</v>
          </cell>
          <cell r="AM55">
            <v>58.1450333976547</v>
          </cell>
          <cell r="AN55">
            <v>490.072217811637</v>
          </cell>
          <cell r="AO55">
            <v>299.988541708809</v>
          </cell>
          <cell r="AP55">
            <v>-190.083676102828</v>
          </cell>
          <cell r="AQ55">
            <v>61.2131295767744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A56" t="str">
            <v>36路</v>
          </cell>
        </row>
        <row r="56">
          <cell r="C56">
            <v>15</v>
          </cell>
          <cell r="D56">
            <v>4.47821291746817</v>
          </cell>
          <cell r="E56">
            <v>4.330821</v>
          </cell>
          <cell r="F56">
            <v>4.111981</v>
          </cell>
          <cell r="G56">
            <v>0.21884</v>
          </cell>
          <cell r="H56">
            <v>-0.14739191746817</v>
          </cell>
          <cell r="I56">
            <v>96.7086889305053</v>
          </cell>
          <cell r="J56">
            <v>1819</v>
          </cell>
          <cell r="K56">
            <v>1880</v>
          </cell>
          <cell r="L56">
            <v>61</v>
          </cell>
          <cell r="M56">
            <v>103.353490929082</v>
          </cell>
          <cell r="N56">
            <v>28.8178451231281</v>
          </cell>
          <cell r="O56">
            <v>24.8814</v>
          </cell>
          <cell r="P56">
            <v>-3.93644512312811</v>
          </cell>
          <cell r="Q56">
            <v>86.3402516520263</v>
          </cell>
          <cell r="R56">
            <v>34.6352053220947</v>
          </cell>
          <cell r="S56">
            <v>29.1173247181918</v>
          </cell>
          <cell r="T56">
            <v>291173.247181918</v>
          </cell>
          <cell r="U56">
            <v>4.0247</v>
          </cell>
          <cell r="V56">
            <v>40247</v>
          </cell>
          <cell r="W56">
            <v>23.39113</v>
          </cell>
          <cell r="X56">
            <v>233911.3</v>
          </cell>
          <cell r="Y56">
            <v>0.083</v>
          </cell>
          <cell r="Z56">
            <v>830</v>
          </cell>
          <cell r="AA56">
            <v>0.00018</v>
          </cell>
          <cell r="AB56">
            <v>1.8</v>
          </cell>
          <cell r="AC56">
            <v>0.3646683</v>
          </cell>
          <cell r="AD56">
            <v>3646.683</v>
          </cell>
          <cell r="AE56">
            <v>0</v>
          </cell>
          <cell r="AF56">
            <v>0</v>
          </cell>
          <cell r="AG56">
            <v>0.00144</v>
          </cell>
          <cell r="AH56">
            <v>14.4</v>
          </cell>
          <cell r="AI56">
            <v>1.25220641819181</v>
          </cell>
          <cell r="AJ56">
            <v>12522.0641819181</v>
          </cell>
          <cell r="AK56">
            <v>19411.5498121279</v>
          </cell>
          <cell r="AL56">
            <v>-5.51788060390288</v>
          </cell>
          <cell r="AM56">
            <v>84.0685783364394</v>
          </cell>
          <cell r="AN56">
            <v>773.415779026341</v>
          </cell>
          <cell r="AO56">
            <v>672.328057848427</v>
          </cell>
          <cell r="AP56">
            <v>-101.087721177915</v>
          </cell>
          <cell r="AQ56">
            <v>86.9297053513474</v>
          </cell>
          <cell r="AR56">
            <v>2359</v>
          </cell>
          <cell r="AS56">
            <v>9522.06418191808</v>
          </cell>
          <cell r="AT56">
            <v>150</v>
          </cell>
          <cell r="AU56">
            <v>3000</v>
          </cell>
        </row>
        <row r="57">
          <cell r="A57" t="str">
            <v>38路</v>
          </cell>
        </row>
        <row r="57">
          <cell r="C57">
            <v>14</v>
          </cell>
          <cell r="D57">
            <v>5.27733306540497</v>
          </cell>
          <cell r="E57">
            <v>5.187558</v>
          </cell>
          <cell r="F57">
            <v>4.745232</v>
          </cell>
          <cell r="G57">
            <v>0.442326</v>
          </cell>
          <cell r="H57">
            <v>-0.0897750654049698</v>
          </cell>
          <cell r="I57">
            <v>98.2988554201083</v>
          </cell>
          <cell r="J57">
            <v>1778</v>
          </cell>
          <cell r="K57">
            <v>1813</v>
          </cell>
          <cell r="L57">
            <v>35</v>
          </cell>
          <cell r="M57">
            <v>101.968503937008</v>
          </cell>
          <cell r="N57">
            <v>26.9619029014683</v>
          </cell>
          <cell r="O57">
            <v>22.7374</v>
          </cell>
          <cell r="P57">
            <v>-4.22450290146828</v>
          </cell>
          <cell r="Q57">
            <v>84.3315847664512</v>
          </cell>
          <cell r="R57">
            <v>31.7353059714635</v>
          </cell>
          <cell r="S57">
            <v>29.5860286</v>
          </cell>
          <cell r="T57">
            <v>295860.286</v>
          </cell>
          <cell r="U57">
            <v>3.5517</v>
          </cell>
          <cell r="V57">
            <v>35517</v>
          </cell>
          <cell r="W57">
            <v>22.09063</v>
          </cell>
          <cell r="X57">
            <v>220906.3</v>
          </cell>
          <cell r="Y57">
            <v>0.0654</v>
          </cell>
          <cell r="Z57">
            <v>654</v>
          </cell>
          <cell r="AA57">
            <v>0.00288</v>
          </cell>
          <cell r="AB57">
            <v>28.8</v>
          </cell>
          <cell r="AC57">
            <v>0.2744586</v>
          </cell>
          <cell r="AD57">
            <v>2744.586</v>
          </cell>
          <cell r="AE57">
            <v>0</v>
          </cell>
          <cell r="AF57">
            <v>0</v>
          </cell>
          <cell r="AG57">
            <v>0.00096</v>
          </cell>
          <cell r="AH57">
            <v>9.6</v>
          </cell>
          <cell r="AI57">
            <v>3.6</v>
          </cell>
          <cell r="AJ57">
            <v>36000</v>
          </cell>
          <cell r="AK57">
            <v>21132.8775714286</v>
          </cell>
          <cell r="AL57">
            <v>-2.14927737146349</v>
          </cell>
          <cell r="AM57">
            <v>93.2274881061612</v>
          </cell>
          <cell r="AN57">
            <v>601.351204825428</v>
          </cell>
          <cell r="AO57">
            <v>570.326704780939</v>
          </cell>
          <cell r="AP57">
            <v>-31.0245000444889</v>
          </cell>
          <cell r="AQ57">
            <v>94.8408683984436</v>
          </cell>
          <cell r="AR57">
            <v>0</v>
          </cell>
          <cell r="AS57">
            <v>0</v>
          </cell>
          <cell r="AT57">
            <v>4846</v>
          </cell>
          <cell r="AU57">
            <v>36000</v>
          </cell>
        </row>
        <row r="58">
          <cell r="A58" t="str">
            <v>61路</v>
          </cell>
        </row>
        <row r="58">
          <cell r="C58">
            <v>12</v>
          </cell>
          <cell r="D58">
            <v>4.50043640763294</v>
          </cell>
          <cell r="E58">
            <v>3.92205</v>
          </cell>
          <cell r="F58">
            <v>3.917877</v>
          </cell>
          <cell r="G58">
            <v>0.004173</v>
          </cell>
          <cell r="H58">
            <v>-0.57838640763294</v>
          </cell>
          <cell r="I58">
            <v>87.1482150786095</v>
          </cell>
          <cell r="J58">
            <v>1654</v>
          </cell>
          <cell r="K58">
            <v>1531</v>
          </cell>
          <cell r="L58">
            <v>-123</v>
          </cell>
          <cell r="M58">
            <v>92.5634824667473</v>
          </cell>
          <cell r="N58">
            <v>18.5409039647893</v>
          </cell>
          <cell r="O58">
            <v>18.0091</v>
          </cell>
          <cell r="P58">
            <v>-0.531803964789283</v>
          </cell>
          <cell r="Q58">
            <v>97.131725800429</v>
          </cell>
          <cell r="R58">
            <v>20.4382141398314</v>
          </cell>
          <cell r="S58">
            <v>19.2361774659749</v>
          </cell>
          <cell r="T58">
            <v>192361.774659749</v>
          </cell>
          <cell r="U58">
            <v>2.6693</v>
          </cell>
          <cell r="V58">
            <v>26693</v>
          </cell>
          <cell r="W58">
            <v>16.27384</v>
          </cell>
          <cell r="X58">
            <v>162738.4</v>
          </cell>
          <cell r="Y58">
            <v>0.051</v>
          </cell>
          <cell r="Z58">
            <v>510</v>
          </cell>
          <cell r="AA58">
            <v>0</v>
          </cell>
          <cell r="AB58">
            <v>0</v>
          </cell>
          <cell r="AC58">
            <v>0.2114883</v>
          </cell>
          <cell r="AD58">
            <v>2114.883</v>
          </cell>
          <cell r="AE58">
            <v>0</v>
          </cell>
          <cell r="AF58">
            <v>0</v>
          </cell>
          <cell r="AG58">
            <v>0.00222</v>
          </cell>
          <cell r="AH58">
            <v>22.2</v>
          </cell>
          <cell r="AI58">
            <v>0.0283291659749378</v>
          </cell>
          <cell r="AJ58">
            <v>283.291659749378</v>
          </cell>
          <cell r="AK58">
            <v>16030.1478883124</v>
          </cell>
          <cell r="AL58">
            <v>-1.20203667385645</v>
          </cell>
          <cell r="AM58">
            <v>94.1186804990274</v>
          </cell>
          <cell r="AN58">
            <v>454.1384943284</v>
          </cell>
          <cell r="AO58">
            <v>490.462321132442</v>
          </cell>
          <cell r="AP58">
            <v>36.3238268040415</v>
          </cell>
          <cell r="AQ58">
            <v>107.998402966866</v>
          </cell>
          <cell r="AR58">
            <v>79</v>
          </cell>
          <cell r="AS58">
            <v>283.291659749378</v>
          </cell>
          <cell r="AT58">
            <v>0</v>
          </cell>
          <cell r="AU58">
            <v>0</v>
          </cell>
        </row>
        <row r="59">
          <cell r="A59" t="str">
            <v>63路</v>
          </cell>
        </row>
        <row r="59">
          <cell r="C59">
            <v>10</v>
          </cell>
          <cell r="D59">
            <v>3.41712737491104</v>
          </cell>
          <cell r="E59">
            <v>2.715837</v>
          </cell>
          <cell r="F59">
            <v>2.709057</v>
          </cell>
          <cell r="G59">
            <v>0.00678</v>
          </cell>
          <cell r="H59">
            <v>-0.70129037491104</v>
          </cell>
          <cell r="I59">
            <v>79.4771953758587</v>
          </cell>
          <cell r="J59">
            <v>1300</v>
          </cell>
          <cell r="K59">
            <v>1177</v>
          </cell>
          <cell r="L59">
            <v>-123</v>
          </cell>
          <cell r="M59">
            <v>90.5384615384615</v>
          </cell>
          <cell r="N59">
            <v>14.4625988175671</v>
          </cell>
          <cell r="O59">
            <v>12.1211</v>
          </cell>
          <cell r="P59">
            <v>-2.34149881756708</v>
          </cell>
          <cell r="Q59">
            <v>83.8099718653402</v>
          </cell>
          <cell r="R59">
            <v>15.7012666391963</v>
          </cell>
          <cell r="S59">
            <v>12.3456373</v>
          </cell>
          <cell r="T59">
            <v>123456.373</v>
          </cell>
          <cell r="U59">
            <v>1.5596</v>
          </cell>
          <cell r="V59">
            <v>15596</v>
          </cell>
          <cell r="W59">
            <v>10.64735</v>
          </cell>
          <cell r="X59">
            <v>106473.5</v>
          </cell>
          <cell r="Y59">
            <v>0.0378</v>
          </cell>
          <cell r="Z59">
            <v>378</v>
          </cell>
          <cell r="AA59">
            <v>0.00072</v>
          </cell>
          <cell r="AB59">
            <v>7.2</v>
          </cell>
          <cell r="AC59">
            <v>0.0992673</v>
          </cell>
          <cell r="AD59">
            <v>992.673</v>
          </cell>
          <cell r="AE59">
            <v>0</v>
          </cell>
          <cell r="AF59">
            <v>0</v>
          </cell>
          <cell r="AG59">
            <v>0.0009</v>
          </cell>
          <cell r="AH59">
            <v>9</v>
          </cell>
          <cell r="AI59">
            <v>0</v>
          </cell>
          <cell r="AJ59">
            <v>0</v>
          </cell>
          <cell r="AK59">
            <v>12345.6373</v>
          </cell>
          <cell r="AL59">
            <v>-3.35562933919633</v>
          </cell>
          <cell r="AM59">
            <v>78.628288938044</v>
          </cell>
          <cell r="AN59">
            <v>459.487309559395</v>
          </cell>
          <cell r="AO59">
            <v>454.579464820606</v>
          </cell>
          <cell r="AP59">
            <v>-4.90784473878932</v>
          </cell>
          <cell r="AQ59">
            <v>98.9318867710415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A60" t="str">
            <v>67路</v>
          </cell>
        </row>
        <row r="60">
          <cell r="C60">
            <v>16</v>
          </cell>
          <cell r="D60">
            <v>4.80774724490464</v>
          </cell>
          <cell r="E60">
            <v>4.862165</v>
          </cell>
          <cell r="F60">
            <v>4.677804</v>
          </cell>
          <cell r="G60">
            <v>0.184361</v>
          </cell>
          <cell r="H60">
            <v>0.0544177550953604</v>
          </cell>
          <cell r="I60">
            <v>101.1318763721</v>
          </cell>
          <cell r="J60">
            <v>1988</v>
          </cell>
          <cell r="K60">
            <v>2038.5</v>
          </cell>
          <cell r="L60">
            <v>50.5</v>
          </cell>
          <cell r="M60">
            <v>102.540241448692</v>
          </cell>
          <cell r="N60">
            <v>26.7247635991784</v>
          </cell>
          <cell r="O60">
            <v>23.0814</v>
          </cell>
          <cell r="P60">
            <v>-3.64336359917844</v>
          </cell>
          <cell r="Q60">
            <v>86.3670876426744</v>
          </cell>
          <cell r="R60">
            <v>32.721422588973</v>
          </cell>
          <cell r="S60">
            <v>29.9323800412882</v>
          </cell>
          <cell r="T60">
            <v>299323.800412882</v>
          </cell>
          <cell r="U60">
            <v>3.5376</v>
          </cell>
          <cell r="V60">
            <v>35376</v>
          </cell>
          <cell r="W60">
            <v>22.140895</v>
          </cell>
          <cell r="X60">
            <v>221408.95</v>
          </cell>
          <cell r="Y60">
            <v>0.0902</v>
          </cell>
          <cell r="Z60">
            <v>902</v>
          </cell>
          <cell r="AA60">
            <v>0.00792</v>
          </cell>
          <cell r="AB60">
            <v>79.2</v>
          </cell>
          <cell r="AC60">
            <v>0.3016647</v>
          </cell>
          <cell r="AD60">
            <v>3016.647</v>
          </cell>
          <cell r="AE60">
            <v>0</v>
          </cell>
          <cell r="AF60">
            <v>0</v>
          </cell>
          <cell r="AG60">
            <v>0.00162</v>
          </cell>
          <cell r="AH60">
            <v>16.2</v>
          </cell>
          <cell r="AI60">
            <v>3.85248034128818</v>
          </cell>
          <cell r="AJ60">
            <v>38524.8034128818</v>
          </cell>
          <cell r="AK60">
            <v>18707.7375258051</v>
          </cell>
          <cell r="AL60">
            <v>-2.7890425476848</v>
          </cell>
          <cell r="AM60">
            <v>91.4764019195648</v>
          </cell>
          <cell r="AN60">
            <v>680.597812700156</v>
          </cell>
          <cell r="AO60">
            <v>615.618351933515</v>
          </cell>
          <cell r="AP60">
            <v>-64.9794607666411</v>
          </cell>
          <cell r="AQ60">
            <v>90.4525904206412</v>
          </cell>
          <cell r="AR60">
            <v>5632</v>
          </cell>
          <cell r="AS60">
            <v>20924.8034128817</v>
          </cell>
          <cell r="AT60">
            <v>3102</v>
          </cell>
          <cell r="AU60">
            <v>17600</v>
          </cell>
        </row>
        <row r="61">
          <cell r="A61" t="str">
            <v>242路</v>
          </cell>
        </row>
        <row r="61">
          <cell r="C61">
            <v>5</v>
          </cell>
          <cell r="D61">
            <v>2.01952020459273</v>
          </cell>
          <cell r="E61">
            <v>1.596701</v>
          </cell>
          <cell r="F61">
            <v>1.596701</v>
          </cell>
          <cell r="G61">
            <v>0</v>
          </cell>
          <cell r="H61">
            <v>-0.42281920459273</v>
          </cell>
          <cell r="I61">
            <v>79.0633832911814</v>
          </cell>
          <cell r="J61">
            <v>420</v>
          </cell>
          <cell r="K61">
            <v>306</v>
          </cell>
          <cell r="L61">
            <v>-114</v>
          </cell>
          <cell r="M61">
            <v>72.8571428571428</v>
          </cell>
          <cell r="N61">
            <v>3.99718282871867</v>
          </cell>
          <cell r="O61">
            <v>2.2938</v>
          </cell>
          <cell r="P61">
            <v>-1.70338282871867</v>
          </cell>
          <cell r="Q61">
            <v>57.3854161365769</v>
          </cell>
          <cell r="R61">
            <v>4.83772483818271</v>
          </cell>
          <cell r="S61">
            <v>2.4515265</v>
          </cell>
          <cell r="T61">
            <v>24515.265</v>
          </cell>
          <cell r="U61">
            <v>0.6244</v>
          </cell>
          <cell r="V61">
            <v>6244</v>
          </cell>
          <cell r="W61">
            <v>1.807925</v>
          </cell>
          <cell r="X61">
            <v>18079.25</v>
          </cell>
          <cell r="Y61">
            <v>0.0072</v>
          </cell>
          <cell r="Z61">
            <v>72</v>
          </cell>
          <cell r="AA61">
            <v>0</v>
          </cell>
          <cell r="AB61">
            <v>0</v>
          </cell>
          <cell r="AC61">
            <v>0.0118215</v>
          </cell>
          <cell r="AD61">
            <v>118.215</v>
          </cell>
          <cell r="AE61">
            <v>0</v>
          </cell>
          <cell r="AF61">
            <v>0</v>
          </cell>
          <cell r="AG61">
            <v>0.00018</v>
          </cell>
          <cell r="AH61">
            <v>1.8</v>
          </cell>
          <cell r="AI61">
            <v>0</v>
          </cell>
          <cell r="AJ61">
            <v>0</v>
          </cell>
          <cell r="AK61">
            <v>4903.053</v>
          </cell>
          <cell r="AL61">
            <v>-2.38619833818271</v>
          </cell>
          <cell r="AM61">
            <v>50.6751950968943</v>
          </cell>
          <cell r="AN61">
            <v>239.548226711518</v>
          </cell>
          <cell r="AO61">
            <v>153.536980311279</v>
          </cell>
          <cell r="AP61">
            <v>-86.0112464002387</v>
          </cell>
          <cell r="AQ61">
            <v>64.0943923564001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A62" t="str">
            <v>310路</v>
          </cell>
        </row>
        <row r="62">
          <cell r="C62">
            <v>2</v>
          </cell>
          <cell r="D62">
            <v>0.400382527950441</v>
          </cell>
          <cell r="E62">
            <v>0.411397</v>
          </cell>
          <cell r="F62">
            <v>0.411397</v>
          </cell>
          <cell r="G62">
            <v>0</v>
          </cell>
          <cell r="H62">
            <v>0.011014472049559</v>
          </cell>
          <cell r="I62">
            <v>102.750987188662</v>
          </cell>
          <cell r="J62">
            <v>284</v>
          </cell>
          <cell r="K62">
            <v>293</v>
          </cell>
          <cell r="L62">
            <v>9</v>
          </cell>
          <cell r="M62">
            <v>103.169014084507</v>
          </cell>
          <cell r="N62">
            <v>0.695931599908371</v>
          </cell>
          <cell r="O62">
            <v>0.7316</v>
          </cell>
          <cell r="P62">
            <v>0.0356684000916289</v>
          </cell>
          <cell r="Q62">
            <v>105.125273819485</v>
          </cell>
          <cell r="R62">
            <v>0.969477341427199</v>
          </cell>
          <cell r="S62">
            <v>0.7376579</v>
          </cell>
          <cell r="T62">
            <v>7376.579</v>
          </cell>
          <cell r="U62">
            <v>0.0945</v>
          </cell>
          <cell r="V62">
            <v>945</v>
          </cell>
          <cell r="W62">
            <v>0.61069</v>
          </cell>
          <cell r="X62">
            <v>6106.9</v>
          </cell>
          <cell r="Y62">
            <v>0.0004</v>
          </cell>
          <cell r="Z62">
            <v>4</v>
          </cell>
          <cell r="AA62">
            <v>0</v>
          </cell>
          <cell r="AB62">
            <v>0</v>
          </cell>
          <cell r="AC62">
            <v>0.0320679</v>
          </cell>
          <cell r="AD62">
            <v>320.679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3688.2895</v>
          </cell>
          <cell r="AL62">
            <v>-0.231819441427199</v>
          </cell>
          <cell r="AM62">
            <v>76.0882042806767</v>
          </cell>
          <cell r="AN62">
            <v>242.137774190586</v>
          </cell>
          <cell r="AO62">
            <v>179.305609909649</v>
          </cell>
          <cell r="AP62">
            <v>-62.8321642809367</v>
          </cell>
          <cell r="AQ62">
            <v>74.051068863183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A63" t="str">
            <v>805路</v>
          </cell>
        </row>
        <row r="63">
          <cell r="C63">
            <v>4</v>
          </cell>
          <cell r="D63">
            <v>2.74747624271851</v>
          </cell>
          <cell r="E63">
            <v>2.822872</v>
          </cell>
          <cell r="F63">
            <v>2.822872</v>
          </cell>
          <cell r="G63">
            <v>0</v>
          </cell>
          <cell r="H63">
            <v>0.0753957572814903</v>
          </cell>
          <cell r="I63">
            <v>102.744182319367</v>
          </cell>
          <cell r="J63">
            <v>420</v>
          </cell>
          <cell r="K63">
            <v>417</v>
          </cell>
          <cell r="L63">
            <v>-3</v>
          </cell>
          <cell r="M63">
            <v>99.2857142857143</v>
          </cell>
          <cell r="N63">
            <v>2.06017821275861</v>
          </cell>
          <cell r="O63">
            <v>1.1265</v>
          </cell>
          <cell r="P63">
            <v>-0.933678212758609</v>
          </cell>
          <cell r="Q63">
            <v>54.679735618192</v>
          </cell>
          <cell r="R63">
            <v>6.80748222229673</v>
          </cell>
          <cell r="S63">
            <v>5.33328</v>
          </cell>
          <cell r="T63">
            <v>53332.8</v>
          </cell>
          <cell r="U63">
            <v>1.5041</v>
          </cell>
          <cell r="V63">
            <v>15041</v>
          </cell>
          <cell r="W63">
            <v>3.80618</v>
          </cell>
          <cell r="X63">
            <v>38061.8</v>
          </cell>
          <cell r="Y63">
            <v>0.023</v>
          </cell>
          <cell r="Z63">
            <v>230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13333.2</v>
          </cell>
          <cell r="AL63">
            <v>-1.47420222229673</v>
          </cell>
          <cell r="AM63">
            <v>78.3443838095054</v>
          </cell>
          <cell r="AN63">
            <v>247.772196041303</v>
          </cell>
          <cell r="AO63">
            <v>188.930989432039</v>
          </cell>
          <cell r="AP63">
            <v>-58.8412066092635</v>
          </cell>
          <cell r="AQ63">
            <v>76.2518928477936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A64" t="str">
            <v>8路</v>
          </cell>
        </row>
        <row r="64">
          <cell r="C64">
            <v>16</v>
          </cell>
          <cell r="D64">
            <v>4.39949227155984</v>
          </cell>
          <cell r="E64">
            <v>3.87718</v>
          </cell>
          <cell r="F64">
            <v>3.796878</v>
          </cell>
          <cell r="G64">
            <v>0.080302</v>
          </cell>
          <cell r="H64">
            <v>-0.52231227155984</v>
          </cell>
          <cell r="I64">
            <v>88.1278965998807</v>
          </cell>
          <cell r="J64">
            <v>2589</v>
          </cell>
          <cell r="K64">
            <v>2455</v>
          </cell>
          <cell r="L64">
            <v>-134</v>
          </cell>
          <cell r="M64">
            <v>94.8242564696794</v>
          </cell>
          <cell r="N64">
            <v>26.3170010729218</v>
          </cell>
          <cell r="O64">
            <v>21.0618</v>
          </cell>
          <cell r="P64">
            <v>-5.25520107292178</v>
          </cell>
          <cell r="Q64">
            <v>80.0311553039036</v>
          </cell>
          <cell r="R64">
            <v>29.297963811977</v>
          </cell>
          <cell r="S64">
            <v>23.9080542</v>
          </cell>
          <cell r="T64">
            <v>239080.542</v>
          </cell>
          <cell r="U64">
            <v>2.2833</v>
          </cell>
          <cell r="V64">
            <v>22833</v>
          </cell>
          <cell r="W64">
            <v>21.34542</v>
          </cell>
          <cell r="X64">
            <v>213454.2</v>
          </cell>
          <cell r="Y64">
            <v>0.0906</v>
          </cell>
          <cell r="Z64">
            <v>906</v>
          </cell>
          <cell r="AA64">
            <v>0.00486</v>
          </cell>
          <cell r="AB64">
            <v>48.6</v>
          </cell>
          <cell r="AC64">
            <v>0.1789542</v>
          </cell>
          <cell r="AD64">
            <v>1789.542</v>
          </cell>
          <cell r="AE64">
            <v>0</v>
          </cell>
          <cell r="AF64">
            <v>0</v>
          </cell>
          <cell r="AG64">
            <v>0.00492</v>
          </cell>
          <cell r="AH64">
            <v>49.2</v>
          </cell>
          <cell r="AI64">
            <v>0</v>
          </cell>
          <cell r="AJ64">
            <v>0</v>
          </cell>
          <cell r="AK64">
            <v>14942.533875</v>
          </cell>
          <cell r="AL64">
            <v>-5.38990961197704</v>
          </cell>
          <cell r="AM64">
            <v>81.6031255736153</v>
          </cell>
          <cell r="AN64">
            <v>665.939658568589</v>
          </cell>
          <cell r="AO64">
            <v>616.635136877834</v>
          </cell>
          <cell r="AP64">
            <v>-49.3045216907548</v>
          </cell>
          <cell r="AQ64">
            <v>92.596247864749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A65" t="str">
            <v>10路</v>
          </cell>
        </row>
        <row r="65">
          <cell r="C65">
            <v>12</v>
          </cell>
          <cell r="D65">
            <v>3.73519609209146</v>
          </cell>
          <cell r="E65">
            <v>3.197898</v>
          </cell>
          <cell r="F65">
            <v>3.148267</v>
          </cell>
          <cell r="G65">
            <v>0.049631</v>
          </cell>
          <cell r="H65">
            <v>-0.53729809209146</v>
          </cell>
          <cell r="I65">
            <v>85.6152641295304</v>
          </cell>
          <cell r="J65">
            <v>2014</v>
          </cell>
          <cell r="K65">
            <v>2035.5</v>
          </cell>
          <cell r="L65">
            <v>21.5</v>
          </cell>
          <cell r="M65">
            <v>101.067527308838</v>
          </cell>
          <cell r="N65">
            <v>21.5645260590942</v>
          </cell>
          <cell r="O65">
            <v>18.3828</v>
          </cell>
          <cell r="P65">
            <v>-3.18172605909418</v>
          </cell>
          <cell r="Q65">
            <v>85.2455553608034</v>
          </cell>
          <cell r="R65">
            <v>21.239780516819</v>
          </cell>
          <cell r="S65">
            <v>19.8936088</v>
          </cell>
          <cell r="T65">
            <v>198936.088</v>
          </cell>
          <cell r="U65">
            <v>2.5407</v>
          </cell>
          <cell r="V65">
            <v>25407</v>
          </cell>
          <cell r="W65">
            <v>14.65134</v>
          </cell>
          <cell r="X65">
            <v>146513.4</v>
          </cell>
          <cell r="Y65">
            <v>0.0556</v>
          </cell>
          <cell r="Z65">
            <v>556</v>
          </cell>
          <cell r="AA65">
            <v>0.00018</v>
          </cell>
          <cell r="AB65">
            <v>1.8</v>
          </cell>
          <cell r="AC65">
            <v>0.0644688</v>
          </cell>
          <cell r="AD65">
            <v>644.688</v>
          </cell>
          <cell r="AE65">
            <v>0</v>
          </cell>
          <cell r="AF65">
            <v>0</v>
          </cell>
          <cell r="AG65">
            <v>0.00132</v>
          </cell>
          <cell r="AH65">
            <v>13.2</v>
          </cell>
          <cell r="AI65">
            <v>2.58</v>
          </cell>
          <cell r="AJ65">
            <v>25800</v>
          </cell>
          <cell r="AK65">
            <v>16578.0073333333</v>
          </cell>
          <cell r="AL65">
            <v>-1.34617171681899</v>
          </cell>
          <cell r="AM65">
            <v>93.6620262353794</v>
          </cell>
          <cell r="AN65">
            <v>568.638968159932</v>
          </cell>
          <cell r="AO65">
            <v>622.083906365994</v>
          </cell>
          <cell r="AP65">
            <v>53.4449382060618</v>
          </cell>
          <cell r="AQ65">
            <v>109.398747043138</v>
          </cell>
          <cell r="AR65">
            <v>0</v>
          </cell>
          <cell r="AS65">
            <v>0</v>
          </cell>
          <cell r="AT65">
            <v>5775</v>
          </cell>
          <cell r="AU65">
            <v>25800</v>
          </cell>
        </row>
        <row r="66">
          <cell r="A66" t="str">
            <v>12路</v>
          </cell>
        </row>
        <row r="66">
          <cell r="C66">
            <v>12</v>
          </cell>
          <cell r="D66">
            <v>3.85943833588958</v>
          </cell>
          <cell r="E66">
            <v>3.208583</v>
          </cell>
          <cell r="F66">
            <v>3.104947</v>
          </cell>
          <cell r="G66">
            <v>0.103636</v>
          </cell>
          <cell r="H66">
            <v>-0.65085533588958</v>
          </cell>
          <cell r="I66">
            <v>83.1360089410637</v>
          </cell>
          <cell r="J66">
            <v>1970</v>
          </cell>
          <cell r="K66">
            <v>2075.5</v>
          </cell>
          <cell r="L66">
            <v>105.5</v>
          </cell>
          <cell r="M66">
            <v>105.355329949239</v>
          </cell>
          <cell r="N66">
            <v>21.7942333646773</v>
          </cell>
          <cell r="O66">
            <v>16.8452</v>
          </cell>
          <cell r="P66">
            <v>-4.94903336467728</v>
          </cell>
          <cell r="Q66">
            <v>77.2920052664098</v>
          </cell>
          <cell r="R66">
            <v>21.6719993273277</v>
          </cell>
          <cell r="S66">
            <v>17.2654706</v>
          </cell>
          <cell r="T66">
            <v>172654.706</v>
          </cell>
          <cell r="U66">
            <v>2.2341</v>
          </cell>
          <cell r="V66">
            <v>22341</v>
          </cell>
          <cell r="W66">
            <v>14.90314</v>
          </cell>
          <cell r="X66">
            <v>149031.4</v>
          </cell>
          <cell r="Y66">
            <v>0.0568</v>
          </cell>
          <cell r="Z66">
            <v>568</v>
          </cell>
          <cell r="AA66">
            <v>0.0003</v>
          </cell>
          <cell r="AB66">
            <v>3</v>
          </cell>
          <cell r="AC66">
            <v>0.0693306</v>
          </cell>
          <cell r="AD66">
            <v>693.306</v>
          </cell>
          <cell r="AE66">
            <v>0</v>
          </cell>
          <cell r="AF66">
            <v>0</v>
          </cell>
          <cell r="AG66">
            <v>0.0018</v>
          </cell>
          <cell r="AH66">
            <v>18</v>
          </cell>
          <cell r="AI66">
            <v>0</v>
          </cell>
          <cell r="AJ66">
            <v>0</v>
          </cell>
          <cell r="AK66">
            <v>14387.8921666667</v>
          </cell>
          <cell r="AL66">
            <v>-4.40652872732771</v>
          </cell>
          <cell r="AM66">
            <v>79.6671794753555</v>
          </cell>
          <cell r="AN66">
            <v>561.532467711585</v>
          </cell>
          <cell r="AO66">
            <v>538.102664010873</v>
          </cell>
          <cell r="AP66">
            <v>-23.4298037007121</v>
          </cell>
          <cell r="AQ66">
            <v>95.8275246672386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</row>
        <row r="67">
          <cell r="A67" t="str">
            <v>16路</v>
          </cell>
        </row>
        <row r="67">
          <cell r="C67">
            <v>15</v>
          </cell>
          <cell r="D67">
            <v>3.8316115661578</v>
          </cell>
          <cell r="E67">
            <v>3.275562</v>
          </cell>
          <cell r="F67">
            <v>3.184846</v>
          </cell>
          <cell r="G67">
            <v>0.090716</v>
          </cell>
          <cell r="H67">
            <v>-0.5560495661578</v>
          </cell>
          <cell r="I67">
            <v>85.4878409108837</v>
          </cell>
          <cell r="J67">
            <v>2560</v>
          </cell>
          <cell r="K67">
            <v>2409</v>
          </cell>
          <cell r="L67">
            <v>-151</v>
          </cell>
          <cell r="M67">
            <v>94.1015625</v>
          </cell>
          <cell r="N67">
            <v>28.999618854011</v>
          </cell>
          <cell r="O67">
            <v>20.9875</v>
          </cell>
          <cell r="P67">
            <v>-8.01211885401096</v>
          </cell>
          <cell r="Q67">
            <v>72.371640833125</v>
          </cell>
          <cell r="R67">
            <v>45.6572306126172</v>
          </cell>
          <cell r="S67">
            <v>20.1539488</v>
          </cell>
          <cell r="T67">
            <v>201539.488</v>
          </cell>
          <cell r="U67">
            <v>2.9892</v>
          </cell>
          <cell r="V67">
            <v>29892</v>
          </cell>
          <cell r="W67">
            <v>16.975575</v>
          </cell>
          <cell r="X67">
            <v>169755.75</v>
          </cell>
          <cell r="Y67">
            <v>0.0706</v>
          </cell>
          <cell r="Z67">
            <v>706</v>
          </cell>
          <cell r="AA67">
            <v>0.00024</v>
          </cell>
          <cell r="AB67">
            <v>2.4</v>
          </cell>
          <cell r="AC67">
            <v>0.1127538</v>
          </cell>
          <cell r="AD67">
            <v>1127.538</v>
          </cell>
          <cell r="AE67">
            <v>0</v>
          </cell>
          <cell r="AF67">
            <v>0</v>
          </cell>
          <cell r="AG67">
            <v>0.00558</v>
          </cell>
          <cell r="AH67">
            <v>55.8</v>
          </cell>
          <cell r="AI67">
            <v>0</v>
          </cell>
          <cell r="AJ67">
            <v>0</v>
          </cell>
          <cell r="AK67">
            <v>13435.9658666667</v>
          </cell>
          <cell r="AL67">
            <v>-25.5032818126172</v>
          </cell>
          <cell r="AM67">
            <v>44.1418555825209</v>
          </cell>
          <cell r="AN67">
            <v>1191.59340200031</v>
          </cell>
          <cell r="AO67">
            <v>615.282165320028</v>
          </cell>
          <cell r="AP67">
            <v>-576.311236680284</v>
          </cell>
          <cell r="AQ67">
            <v>51.6352443952074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A68" t="str">
            <v>48路</v>
          </cell>
        </row>
        <row r="68">
          <cell r="C68">
            <v>16</v>
          </cell>
          <cell r="D68">
            <v>5.56503504579817</v>
          </cell>
          <cell r="E68">
            <v>5.695225</v>
          </cell>
          <cell r="F68">
            <v>5.690188</v>
          </cell>
          <cell r="G68">
            <v>0.005037</v>
          </cell>
          <cell r="H68">
            <v>0.13018995420183</v>
          </cell>
          <cell r="I68">
            <v>102.33942739139</v>
          </cell>
          <cell r="J68">
            <v>1125</v>
          </cell>
          <cell r="K68">
            <v>1059</v>
          </cell>
          <cell r="L68">
            <v>-66</v>
          </cell>
          <cell r="M68">
            <v>94.1333333333333</v>
          </cell>
          <cell r="N68">
            <v>18.8999496402305</v>
          </cell>
          <cell r="O68">
            <v>17.9326</v>
          </cell>
          <cell r="P68">
            <v>-0.967349640230456</v>
          </cell>
          <cell r="Q68">
            <v>94.8817342974748</v>
          </cell>
          <cell r="R68">
            <v>23.3121098033715</v>
          </cell>
          <cell r="S68">
            <v>22.652449</v>
          </cell>
          <cell r="T68">
            <v>226524.49</v>
          </cell>
          <cell r="U68">
            <v>1.8067</v>
          </cell>
          <cell r="V68">
            <v>18067</v>
          </cell>
          <cell r="W68">
            <v>20.70592</v>
          </cell>
          <cell r="X68">
            <v>207059.2</v>
          </cell>
          <cell r="Y68">
            <v>0.0662</v>
          </cell>
          <cell r="Z68">
            <v>662</v>
          </cell>
          <cell r="AA68">
            <v>0.00078</v>
          </cell>
          <cell r="AB68">
            <v>7.8</v>
          </cell>
          <cell r="AC68">
            <v>0.070929</v>
          </cell>
          <cell r="AD68">
            <v>709.29</v>
          </cell>
          <cell r="AE68">
            <v>0</v>
          </cell>
          <cell r="AF68">
            <v>0</v>
          </cell>
          <cell r="AG68">
            <v>0.00192</v>
          </cell>
          <cell r="AH68">
            <v>19.2</v>
          </cell>
          <cell r="AI68">
            <v>0</v>
          </cell>
          <cell r="AJ68">
            <v>0</v>
          </cell>
          <cell r="AK68">
            <v>14157.780625</v>
          </cell>
          <cell r="AL68">
            <v>-0.659660803371459</v>
          </cell>
          <cell r="AM68">
            <v>97.1703084408256</v>
          </cell>
          <cell r="AN68">
            <v>418.90319847982</v>
          </cell>
          <cell r="AO68">
            <v>397.744584278935</v>
          </cell>
          <cell r="AP68">
            <v>-21.1586142008848</v>
          </cell>
          <cell r="AQ68">
            <v>94.9490444862516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A69" t="str">
            <v>306路</v>
          </cell>
        </row>
        <row r="69">
          <cell r="C69">
            <v>10</v>
          </cell>
          <cell r="D69">
            <v>2.73109859661351</v>
          </cell>
          <cell r="E69">
            <v>2.442733</v>
          </cell>
          <cell r="F69">
            <v>2.397973</v>
          </cell>
          <cell r="G69">
            <v>0.04476</v>
          </cell>
          <cell r="H69">
            <v>-0.28836559661351</v>
          </cell>
          <cell r="I69">
            <v>89.4414065837434</v>
          </cell>
          <cell r="J69">
            <v>1442</v>
          </cell>
          <cell r="K69">
            <v>1099</v>
          </cell>
          <cell r="L69">
            <v>-343</v>
          </cell>
          <cell r="M69">
            <v>76.2135922330097</v>
          </cell>
          <cell r="N69">
            <v>9.0418142368597</v>
          </cell>
          <cell r="O69">
            <v>6.999</v>
          </cell>
          <cell r="P69">
            <v>-2.0428142368597</v>
          </cell>
          <cell r="Q69">
            <v>77.4070315608564</v>
          </cell>
          <cell r="R69">
            <v>9.67256701949248</v>
          </cell>
          <cell r="S69">
            <v>7.0642771</v>
          </cell>
          <cell r="T69">
            <v>70642.771</v>
          </cell>
          <cell r="U69">
            <v>1.3771</v>
          </cell>
          <cell r="V69">
            <v>13771</v>
          </cell>
          <cell r="W69">
            <v>5.53815</v>
          </cell>
          <cell r="X69">
            <v>55381.5</v>
          </cell>
          <cell r="Y69">
            <v>0.0132</v>
          </cell>
          <cell r="Z69">
            <v>132</v>
          </cell>
          <cell r="AA69">
            <v>0.00234</v>
          </cell>
          <cell r="AB69">
            <v>23.4</v>
          </cell>
          <cell r="AC69">
            <v>0.1327671</v>
          </cell>
          <cell r="AD69">
            <v>1327.671</v>
          </cell>
          <cell r="AE69">
            <v>0</v>
          </cell>
          <cell r="AF69">
            <v>0</v>
          </cell>
          <cell r="AG69">
            <v>0.00072</v>
          </cell>
          <cell r="AH69">
            <v>7.2</v>
          </cell>
          <cell r="AI69">
            <v>0</v>
          </cell>
          <cell r="AJ69">
            <v>0</v>
          </cell>
          <cell r="AK69">
            <v>7064.2771</v>
          </cell>
          <cell r="AL69">
            <v>-2.60828991949248</v>
          </cell>
          <cell r="AM69">
            <v>73.0341499393473</v>
          </cell>
          <cell r="AN69">
            <v>354.163962864109</v>
          </cell>
          <cell r="AO69">
            <v>289.195630468004</v>
          </cell>
          <cell r="AP69">
            <v>-64.9683323961049</v>
          </cell>
          <cell r="AQ69">
            <v>81.6558602205858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A70" t="str">
            <v>603路</v>
          </cell>
        </row>
        <row r="70">
          <cell r="C70">
            <v>3</v>
          </cell>
          <cell r="D70">
            <v>0.564480044801165</v>
          </cell>
          <cell r="E70">
            <v>0.598226</v>
          </cell>
          <cell r="F70">
            <v>0.598226</v>
          </cell>
          <cell r="G70">
            <v>0</v>
          </cell>
          <cell r="H70">
            <v>0.0337459551988351</v>
          </cell>
          <cell r="I70">
            <v>105.978237053663</v>
          </cell>
          <cell r="J70">
            <v>897</v>
          </cell>
          <cell r="K70">
            <v>850</v>
          </cell>
          <cell r="L70">
            <v>-47</v>
          </cell>
          <cell r="M70">
            <v>94.7603121516165</v>
          </cell>
          <cell r="N70">
            <v>4.68811593525776</v>
          </cell>
          <cell r="O70">
            <v>2.873</v>
          </cell>
          <cell r="P70">
            <v>-1.81511593525776</v>
          </cell>
          <cell r="Q70">
            <v>61.2826141604802</v>
          </cell>
          <cell r="R70">
            <v>4.49732605005016</v>
          </cell>
          <cell r="S70">
            <v>2.2990724</v>
          </cell>
          <cell r="T70">
            <v>22990.724</v>
          </cell>
          <cell r="U70">
            <v>0.4315</v>
          </cell>
          <cell r="V70">
            <v>4315</v>
          </cell>
          <cell r="W70">
            <v>1.829035</v>
          </cell>
          <cell r="X70">
            <v>18290.35</v>
          </cell>
          <cell r="Y70">
            <v>0.0024</v>
          </cell>
          <cell r="Z70">
            <v>24</v>
          </cell>
          <cell r="AA70">
            <v>0</v>
          </cell>
          <cell r="AB70">
            <v>0</v>
          </cell>
          <cell r="AC70">
            <v>0.0358974</v>
          </cell>
          <cell r="AD70">
            <v>358.974</v>
          </cell>
          <cell r="AE70">
            <v>0</v>
          </cell>
          <cell r="AF70">
            <v>0</v>
          </cell>
          <cell r="AG70">
            <v>0.00024</v>
          </cell>
          <cell r="AH70">
            <v>2.4</v>
          </cell>
          <cell r="AI70">
            <v>0</v>
          </cell>
          <cell r="AJ70">
            <v>0</v>
          </cell>
          <cell r="AK70">
            <v>7663.57466666667</v>
          </cell>
          <cell r="AL70">
            <v>-2.19825365005016</v>
          </cell>
          <cell r="AM70">
            <v>51.1208743687676</v>
          </cell>
          <cell r="AN70">
            <v>796.720112866757</v>
          </cell>
          <cell r="AO70">
            <v>384.31502475653</v>
          </cell>
          <cell r="AP70">
            <v>-412.405088110227</v>
          </cell>
          <cell r="AQ70">
            <v>48.2371435777727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</row>
        <row r="71">
          <cell r="A71" t="str">
            <v>5203路</v>
          </cell>
          <cell r="B71" t="str">
            <v>品质</v>
          </cell>
        </row>
        <row r="71">
          <cell r="D71">
            <v>0</v>
          </cell>
          <cell r="E71">
            <v>0.226236</v>
          </cell>
          <cell r="F71">
            <v>0</v>
          </cell>
          <cell r="G71">
            <v>0.226236</v>
          </cell>
          <cell r="H71">
            <v>0.226236</v>
          </cell>
          <cell r="I71" t="e">
            <v>#DIV/0!</v>
          </cell>
          <cell r="J71">
            <v>0</v>
          </cell>
          <cell r="K71">
            <v>71</v>
          </cell>
          <cell r="L71">
            <v>71</v>
          </cell>
          <cell r="M71" t="e">
            <v>#DIV/0!</v>
          </cell>
          <cell r="N71">
            <v>0</v>
          </cell>
          <cell r="O71">
            <v>0.1905</v>
          </cell>
          <cell r="P71">
            <v>0.1905</v>
          </cell>
          <cell r="Q71" t="e">
            <v>#DIV/0!</v>
          </cell>
          <cell r="R71">
            <v>0</v>
          </cell>
          <cell r="S71">
            <v>0.3343</v>
          </cell>
          <cell r="T71">
            <v>3343</v>
          </cell>
          <cell r="U71">
            <v>0.0075</v>
          </cell>
          <cell r="V71">
            <v>75</v>
          </cell>
          <cell r="W71">
            <v>0.3266</v>
          </cell>
          <cell r="X71">
            <v>3266</v>
          </cell>
          <cell r="Y71">
            <v>0.0002</v>
          </cell>
          <cell r="Z71">
            <v>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0.3343</v>
          </cell>
          <cell r="AJ71">
            <v>3343</v>
          </cell>
          <cell r="AK71" t="e">
            <v>#DIV/0!</v>
          </cell>
          <cell r="AL71">
            <v>0.3343</v>
          </cell>
          <cell r="AM71" t="e">
            <v>#DIV/0!</v>
          </cell>
          <cell r="AN71" t="e">
            <v>#DIV/0!</v>
          </cell>
          <cell r="AO71">
            <v>147.76604961191</v>
          </cell>
          <cell r="AP71" t="e">
            <v>#DIV/0!</v>
          </cell>
          <cell r="AQ71" t="e">
            <v>#DIV/0!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</row>
        <row r="72">
          <cell r="A72" t="str">
            <v>5204路</v>
          </cell>
          <cell r="B72" t="str">
            <v>品质</v>
          </cell>
        </row>
        <row r="72">
          <cell r="D72">
            <v>0</v>
          </cell>
          <cell r="E72">
            <v>0.443337</v>
          </cell>
          <cell r="F72">
            <v>0</v>
          </cell>
          <cell r="G72">
            <v>0.443337</v>
          </cell>
          <cell r="H72">
            <v>0.443337</v>
          </cell>
          <cell r="I72" t="e">
            <v>#DIV/0!</v>
          </cell>
          <cell r="J72">
            <v>0</v>
          </cell>
          <cell r="K72">
            <v>366</v>
          </cell>
          <cell r="L72">
            <v>366</v>
          </cell>
          <cell r="M72" t="e">
            <v>#DIV/0!</v>
          </cell>
          <cell r="N72">
            <v>0</v>
          </cell>
          <cell r="O72">
            <v>1.528</v>
          </cell>
          <cell r="P72">
            <v>1.528</v>
          </cell>
          <cell r="Q72" t="e">
            <v>#DIV/0!</v>
          </cell>
          <cell r="R72">
            <v>0</v>
          </cell>
          <cell r="S72">
            <v>2.273664</v>
          </cell>
          <cell r="T72">
            <v>22736.64</v>
          </cell>
          <cell r="U72">
            <v>0</v>
          </cell>
        </row>
        <row r="72"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2.273664</v>
          </cell>
          <cell r="AJ72">
            <v>22736.64</v>
          </cell>
          <cell r="AK72" t="e">
            <v>#DIV/0!</v>
          </cell>
          <cell r="AL72">
            <v>2.273664</v>
          </cell>
          <cell r="AM72" t="e">
            <v>#DIV/0!</v>
          </cell>
          <cell r="AN72" t="e">
            <v>#DIV/0!</v>
          </cell>
          <cell r="AO72">
            <v>512.852299717822</v>
          </cell>
          <cell r="AP72" t="e">
            <v>#DIV/0!</v>
          </cell>
          <cell r="AQ72" t="e">
            <v>#DIV/0!</v>
          </cell>
          <cell r="AR72">
            <v>15280</v>
          </cell>
          <cell r="AS72">
            <v>22736.64</v>
          </cell>
          <cell r="AT72">
            <v>0</v>
          </cell>
          <cell r="AU72">
            <v>0</v>
          </cell>
        </row>
        <row r="73">
          <cell r="A73" t="str">
            <v>46路</v>
          </cell>
        </row>
        <row r="73">
          <cell r="C73">
            <v>15</v>
          </cell>
          <cell r="D73">
            <v>5.23570855283832</v>
          </cell>
          <cell r="E73">
            <v>4.97913</v>
          </cell>
          <cell r="F73">
            <v>4.908372</v>
          </cell>
          <cell r="G73">
            <v>0.070758</v>
          </cell>
          <cell r="H73">
            <v>-0.256578552838319</v>
          </cell>
          <cell r="I73">
            <v>95.0994492865875</v>
          </cell>
          <cell r="J73">
            <v>1138</v>
          </cell>
          <cell r="K73">
            <v>1218</v>
          </cell>
          <cell r="L73">
            <v>80</v>
          </cell>
          <cell r="M73">
            <v>107.029876977153</v>
          </cell>
          <cell r="N73">
            <v>16.5689879656531</v>
          </cell>
          <cell r="O73">
            <v>12.6674</v>
          </cell>
          <cell r="P73">
            <v>-3.90158796565306</v>
          </cell>
          <cell r="Q73">
            <v>76.452466657946</v>
          </cell>
          <cell r="R73">
            <v>18.9962673118532</v>
          </cell>
          <cell r="S73">
            <v>15.8300157</v>
          </cell>
          <cell r="T73">
            <v>158300.157</v>
          </cell>
          <cell r="U73">
            <v>2.0909</v>
          </cell>
          <cell r="V73">
            <v>20909</v>
          </cell>
          <cell r="W73">
            <v>13.660475</v>
          </cell>
          <cell r="X73">
            <v>136604.75</v>
          </cell>
          <cell r="Y73">
            <v>0.032</v>
          </cell>
          <cell r="Z73">
            <v>320</v>
          </cell>
          <cell r="AA73">
            <v>6e-5</v>
          </cell>
          <cell r="AB73">
            <v>0.6</v>
          </cell>
          <cell r="AC73">
            <v>0.0459207</v>
          </cell>
          <cell r="AD73">
            <v>459.207</v>
          </cell>
          <cell r="AE73">
            <v>0</v>
          </cell>
          <cell r="AF73">
            <v>0</v>
          </cell>
          <cell r="AG73">
            <v>0.00066</v>
          </cell>
          <cell r="AH73">
            <v>6.6</v>
          </cell>
          <cell r="AI73">
            <v>0</v>
          </cell>
          <cell r="AJ73">
            <v>0</v>
          </cell>
          <cell r="AK73">
            <v>10553.3438</v>
          </cell>
          <cell r="AL73">
            <v>-3.16625161185316</v>
          </cell>
          <cell r="AM73">
            <v>83.3322433303647</v>
          </cell>
          <cell r="AN73">
            <v>362.821328195496</v>
          </cell>
          <cell r="AO73">
            <v>317.927342728549</v>
          </cell>
          <cell r="AP73">
            <v>-44.8939854669468</v>
          </cell>
          <cell r="AQ73">
            <v>87.6264205055892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</row>
        <row r="74">
          <cell r="A74" t="str">
            <v>87路</v>
          </cell>
        </row>
        <row r="74">
          <cell r="C74">
            <v>7</v>
          </cell>
          <cell r="D74">
            <v>2.17972692258329</v>
          </cell>
          <cell r="E74">
            <v>2.09205</v>
          </cell>
          <cell r="F74">
            <v>1.725591</v>
          </cell>
          <cell r="G74">
            <v>0.366459</v>
          </cell>
          <cell r="H74">
            <v>-0.0876769225832899</v>
          </cell>
          <cell r="I74">
            <v>95.9776189542413</v>
          </cell>
          <cell r="J74">
            <v>1101</v>
          </cell>
          <cell r="K74">
            <v>1113.5</v>
          </cell>
          <cell r="L74">
            <v>12.5</v>
          </cell>
          <cell r="M74">
            <v>101.135331516803</v>
          </cell>
          <cell r="N74">
            <v>4.94763956439063</v>
          </cell>
          <cell r="O74">
            <v>3.3673</v>
          </cell>
          <cell r="P74">
            <v>-1.58033956439063</v>
          </cell>
          <cell r="Q74">
            <v>68.0587168118568</v>
          </cell>
          <cell r="R74">
            <v>5.60241857601931</v>
          </cell>
          <cell r="S74">
            <v>3.9102175</v>
          </cell>
          <cell r="T74">
            <v>39102.175</v>
          </cell>
          <cell r="U74">
            <v>0.4819</v>
          </cell>
          <cell r="V74">
            <v>4819</v>
          </cell>
          <cell r="W74">
            <v>3.389415</v>
          </cell>
          <cell r="X74">
            <v>33894.15</v>
          </cell>
          <cell r="Y74">
            <v>0.0144</v>
          </cell>
          <cell r="Z74">
            <v>144</v>
          </cell>
          <cell r="AA74">
            <v>0</v>
          </cell>
          <cell r="AB74">
            <v>0</v>
          </cell>
          <cell r="AC74">
            <v>0.0241425</v>
          </cell>
          <cell r="AD74">
            <v>241.425</v>
          </cell>
          <cell r="AE74">
            <v>0</v>
          </cell>
          <cell r="AF74">
            <v>0</v>
          </cell>
          <cell r="AG74">
            <v>0.00036</v>
          </cell>
          <cell r="AH74">
            <v>3.6</v>
          </cell>
          <cell r="AI74">
            <v>0</v>
          </cell>
          <cell r="AJ74">
            <v>0</v>
          </cell>
          <cell r="AK74">
            <v>5586.025</v>
          </cell>
          <cell r="AL74">
            <v>-1.69220107601931</v>
          </cell>
          <cell r="AM74">
            <v>69.7951687640292</v>
          </cell>
          <cell r="AN74">
            <v>257.02387386121</v>
          </cell>
          <cell r="AO74">
            <v>186.908415190842</v>
          </cell>
          <cell r="AP74">
            <v>-70.1154586703685</v>
          </cell>
          <cell r="AQ74">
            <v>72.7202544973585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</row>
        <row r="75">
          <cell r="A75" t="str">
            <v>229路</v>
          </cell>
        </row>
        <row r="75">
          <cell r="C75">
            <v>14</v>
          </cell>
          <cell r="D75">
            <v>7.61901470403292</v>
          </cell>
          <cell r="E75">
            <v>5.766628</v>
          </cell>
          <cell r="F75">
            <v>5.732039</v>
          </cell>
          <cell r="G75">
            <v>0.034589</v>
          </cell>
          <cell r="H75">
            <v>-1.85238670403292</v>
          </cell>
          <cell r="I75">
            <v>75.6873194764619</v>
          </cell>
          <cell r="J75">
            <v>860</v>
          </cell>
          <cell r="K75">
            <v>952</v>
          </cell>
          <cell r="L75">
            <v>92</v>
          </cell>
          <cell r="M75">
            <v>110.697674418605</v>
          </cell>
          <cell r="N75">
            <v>15.2776663617105</v>
          </cell>
          <cell r="O75">
            <v>11.3331</v>
          </cell>
          <cell r="P75">
            <v>-3.9445663617105</v>
          </cell>
          <cell r="Q75">
            <v>74.1808318867564</v>
          </cell>
          <cell r="R75">
            <v>24.8440963216135</v>
          </cell>
          <cell r="S75">
            <v>16.2906431</v>
          </cell>
          <cell r="T75">
            <v>162906.431</v>
          </cell>
          <cell r="U75">
            <v>2.3703</v>
          </cell>
          <cell r="V75">
            <v>23703</v>
          </cell>
          <cell r="W75">
            <v>13.84283</v>
          </cell>
          <cell r="X75">
            <v>138428.3</v>
          </cell>
          <cell r="Y75">
            <v>0.0528</v>
          </cell>
          <cell r="Z75">
            <v>528</v>
          </cell>
          <cell r="AA75">
            <v>0.00108</v>
          </cell>
          <cell r="AB75">
            <v>10.8</v>
          </cell>
          <cell r="AC75">
            <v>0.0202131</v>
          </cell>
          <cell r="AD75">
            <v>202.131</v>
          </cell>
          <cell r="AE75">
            <v>0</v>
          </cell>
          <cell r="AF75">
            <v>0</v>
          </cell>
          <cell r="AG75">
            <v>0.00342</v>
          </cell>
          <cell r="AH75">
            <v>34.2</v>
          </cell>
          <cell r="AI75">
            <v>0</v>
          </cell>
          <cell r="AJ75">
            <v>0</v>
          </cell>
          <cell r="AK75">
            <v>11636.1736428571</v>
          </cell>
          <cell r="AL75">
            <v>-8.55345322161348</v>
          </cell>
          <cell r="AM75">
            <v>65.5714858335488</v>
          </cell>
          <cell r="AN75">
            <v>326.080172918723</v>
          </cell>
          <cell r="AO75">
            <v>282.498595366304</v>
          </cell>
          <cell r="AP75">
            <v>-43.5815775524188</v>
          </cell>
          <cell r="AQ75">
            <v>86.6347048450315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</row>
        <row r="76">
          <cell r="A76" t="str">
            <v>258路</v>
          </cell>
        </row>
        <row r="76">
          <cell r="C76">
            <v>5</v>
          </cell>
          <cell r="D76">
            <v>2.89758581159386</v>
          </cell>
          <cell r="E76">
            <v>2.899214</v>
          </cell>
          <cell r="F76">
            <v>2.899214</v>
          </cell>
          <cell r="G76">
            <v>0</v>
          </cell>
          <cell r="H76">
            <v>0.00162818840613976</v>
          </cell>
          <cell r="I76">
            <v>100.056191205783</v>
          </cell>
          <cell r="J76">
            <v>450</v>
          </cell>
          <cell r="K76">
            <v>447.5</v>
          </cell>
          <cell r="L76">
            <v>-2.5</v>
          </cell>
          <cell r="M76">
            <v>99.4444444444444</v>
          </cell>
          <cell r="N76">
            <v>3.94761167798597</v>
          </cell>
          <cell r="O76">
            <v>2.1287</v>
          </cell>
          <cell r="P76">
            <v>-1.81891167798597</v>
          </cell>
          <cell r="Q76">
            <v>53.9237436111254</v>
          </cell>
          <cell r="R76">
            <v>5.89373447570722</v>
          </cell>
          <cell r="S76">
            <v>4.0831292</v>
          </cell>
          <cell r="T76">
            <v>40831.292</v>
          </cell>
          <cell r="U76">
            <v>0.9357</v>
          </cell>
          <cell r="V76">
            <v>9357</v>
          </cell>
          <cell r="W76">
            <v>3.110525</v>
          </cell>
          <cell r="X76">
            <v>31105.25</v>
          </cell>
          <cell r="Y76">
            <v>0.0078</v>
          </cell>
          <cell r="Z76">
            <v>78</v>
          </cell>
          <cell r="AA76">
            <v>0</v>
          </cell>
          <cell r="AB76">
            <v>0</v>
          </cell>
          <cell r="AC76">
            <v>0.0291042</v>
          </cell>
          <cell r="AD76">
            <v>291.042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8166.2584</v>
          </cell>
          <cell r="AL76">
            <v>-1.81060527570722</v>
          </cell>
          <cell r="AM76">
            <v>69.2791508818361</v>
          </cell>
          <cell r="AN76">
            <v>203.401550771167</v>
          </cell>
          <cell r="AO76">
            <v>140.835729959913</v>
          </cell>
          <cell r="AP76">
            <v>-62.5658208112539</v>
          </cell>
          <cell r="AQ76">
            <v>69.2402439538712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</row>
        <row r="77">
          <cell r="A77" t="str">
            <v>600路</v>
          </cell>
        </row>
        <row r="77">
          <cell r="C77">
            <v>1</v>
          </cell>
          <cell r="D77">
            <v>0</v>
          </cell>
          <cell r="E77">
            <v>0.117895</v>
          </cell>
          <cell r="F77">
            <v>0.117895</v>
          </cell>
          <cell r="G77">
            <v>0</v>
          </cell>
          <cell r="H77">
            <v>0.117895</v>
          </cell>
          <cell r="I77" t="e">
            <v>#DIV/0!</v>
          </cell>
          <cell r="J77">
            <v>176</v>
          </cell>
          <cell r="K77">
            <v>176</v>
          </cell>
          <cell r="L77">
            <v>0</v>
          </cell>
          <cell r="M77">
            <v>100</v>
          </cell>
          <cell r="N77">
            <v>0</v>
          </cell>
          <cell r="O77">
            <v>0.0876</v>
          </cell>
          <cell r="P77">
            <v>0.0876</v>
          </cell>
          <cell r="Q77" t="e">
            <v>#DIV/0!</v>
          </cell>
          <cell r="R77">
            <v>0</v>
          </cell>
          <cell r="S77">
            <v>0.1118782</v>
          </cell>
          <cell r="T77">
            <v>1118.782</v>
          </cell>
          <cell r="U77">
            <v>0.008</v>
          </cell>
          <cell r="V77">
            <v>80</v>
          </cell>
          <cell r="W77">
            <v>0.103745</v>
          </cell>
          <cell r="X77">
            <v>1037.45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0.0001332</v>
          </cell>
          <cell r="AD77">
            <v>1.332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1118.782</v>
          </cell>
          <cell r="AL77">
            <v>0.1118782</v>
          </cell>
          <cell r="AM77" t="e">
            <v>#DIV/0!</v>
          </cell>
          <cell r="AN77" t="e">
            <v>#DIV/0!</v>
          </cell>
          <cell r="AO77">
            <v>94.8964756775097</v>
          </cell>
          <cell r="AP77" t="e">
            <v>#DIV/0!</v>
          </cell>
          <cell r="AQ77" t="e">
            <v>#DIV/0!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</row>
        <row r="78">
          <cell r="A78" t="str">
            <v>803路</v>
          </cell>
        </row>
        <row r="78">
          <cell r="C78">
            <v>2</v>
          </cell>
          <cell r="D78">
            <v>1.23761819508379</v>
          </cell>
          <cell r="E78">
            <v>1.03885</v>
          </cell>
          <cell r="F78">
            <v>1.03885</v>
          </cell>
          <cell r="G78">
            <v>0</v>
          </cell>
          <cell r="H78">
            <v>-0.19876819508379</v>
          </cell>
          <cell r="I78">
            <v>83.9394575909307</v>
          </cell>
          <cell r="J78">
            <v>210</v>
          </cell>
          <cell r="K78">
            <v>143</v>
          </cell>
          <cell r="L78">
            <v>-67</v>
          </cell>
          <cell r="M78">
            <v>68.0952380952381</v>
          </cell>
          <cell r="N78">
            <v>1.70166791892969</v>
          </cell>
          <cell r="O78">
            <v>0.4252</v>
          </cell>
          <cell r="P78">
            <v>-1.27646791892969</v>
          </cell>
          <cell r="Q78">
            <v>24.9872489967045</v>
          </cell>
          <cell r="R78">
            <v>4.89421617779048</v>
          </cell>
          <cell r="S78">
            <v>2.04399</v>
          </cell>
          <cell r="T78">
            <v>20439.9</v>
          </cell>
          <cell r="U78">
            <v>1.0704</v>
          </cell>
          <cell r="V78">
            <v>10704</v>
          </cell>
          <cell r="W78">
            <v>0.96709</v>
          </cell>
          <cell r="X78">
            <v>9670.9</v>
          </cell>
          <cell r="Y78">
            <v>0.0065</v>
          </cell>
          <cell r="Z78">
            <v>65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10219.95</v>
          </cell>
          <cell r="AL78">
            <v>-2.85022617779048</v>
          </cell>
          <cell r="AM78">
            <v>41.7633779495774</v>
          </cell>
          <cell r="AN78">
            <v>395.454446066796</v>
          </cell>
          <cell r="AO78">
            <v>196.755065697646</v>
          </cell>
          <cell r="AP78">
            <v>-198.699380369149</v>
          </cell>
          <cell r="AQ78">
            <v>49.7541670487156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</row>
        <row r="79">
          <cell r="A79" t="str">
            <v>804路</v>
          </cell>
        </row>
        <row r="79">
          <cell r="C79">
            <v>4</v>
          </cell>
          <cell r="D79">
            <v>2.78822046840276</v>
          </cell>
          <cell r="E79">
            <v>2.75414</v>
          </cell>
          <cell r="F79">
            <v>2.75414</v>
          </cell>
          <cell r="G79">
            <v>0</v>
          </cell>
          <cell r="H79">
            <v>-0.03408046840276</v>
          </cell>
          <cell r="I79">
            <v>98.7776982204609</v>
          </cell>
          <cell r="J79">
            <v>494</v>
          </cell>
          <cell r="K79">
            <v>494</v>
          </cell>
          <cell r="L79">
            <v>0</v>
          </cell>
          <cell r="M79">
            <v>100</v>
          </cell>
          <cell r="N79">
            <v>3.82276132121549</v>
          </cell>
          <cell r="O79">
            <v>2.5958</v>
          </cell>
          <cell r="P79">
            <v>-1.22696132121549</v>
          </cell>
          <cell r="Q79">
            <v>67.9037947149322</v>
          </cell>
          <cell r="R79">
            <v>12.5978324604242</v>
          </cell>
          <cell r="S79">
            <v>9.83518</v>
          </cell>
          <cell r="T79">
            <v>98351.8</v>
          </cell>
          <cell r="U79">
            <v>1.677</v>
          </cell>
          <cell r="V79">
            <v>16770</v>
          </cell>
          <cell r="W79">
            <v>8.12938</v>
          </cell>
          <cell r="X79">
            <v>81293.8</v>
          </cell>
          <cell r="Y79">
            <v>0.0288</v>
          </cell>
          <cell r="Z79">
            <v>288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24587.95</v>
          </cell>
          <cell r="AL79">
            <v>-2.76265246042418</v>
          </cell>
          <cell r="AM79">
            <v>78.0704143422847</v>
          </cell>
          <cell r="AN79">
            <v>451.823397869283</v>
          </cell>
          <cell r="AO79">
            <v>357.105303288867</v>
          </cell>
          <cell r="AP79">
            <v>-94.7180945804159</v>
          </cell>
          <cell r="AQ79">
            <v>79.0364786270279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</row>
        <row r="80">
          <cell r="A80" t="str">
            <v>5409路</v>
          </cell>
          <cell r="B80" t="str">
            <v>品质</v>
          </cell>
        </row>
        <row r="80">
          <cell r="D80">
            <v>0</v>
          </cell>
          <cell r="E80">
            <v>0.136147</v>
          </cell>
          <cell r="F80">
            <v>0</v>
          </cell>
          <cell r="G80">
            <v>0.136147</v>
          </cell>
          <cell r="H80">
            <v>0.136147</v>
          </cell>
          <cell r="I80" t="e">
            <v>#DIV/0!</v>
          </cell>
          <cell r="J80">
            <v>0</v>
          </cell>
          <cell r="K80">
            <v>88</v>
          </cell>
          <cell r="L80">
            <v>88</v>
          </cell>
          <cell r="M80" t="e">
            <v>#DIV/0!</v>
          </cell>
          <cell r="N80">
            <v>0</v>
          </cell>
          <cell r="O80">
            <v>0.0746</v>
          </cell>
          <cell r="P80">
            <v>0.0746</v>
          </cell>
          <cell r="Q80" t="e">
            <v>#DIV/0!</v>
          </cell>
          <cell r="R80">
            <v>0</v>
          </cell>
          <cell r="S80">
            <v>0.1476</v>
          </cell>
          <cell r="T80">
            <v>1476</v>
          </cell>
          <cell r="U80">
            <v>0.0112</v>
          </cell>
          <cell r="V80">
            <v>112</v>
          </cell>
          <cell r="W80">
            <v>0.1364</v>
          </cell>
          <cell r="X80">
            <v>1364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0.1476</v>
          </cell>
          <cell r="AJ80">
            <v>1476</v>
          </cell>
          <cell r="AK80" t="e">
            <v>#DIV/0!</v>
          </cell>
          <cell r="AL80">
            <v>0.1476</v>
          </cell>
          <cell r="AM80" t="e">
            <v>#DIV/0!</v>
          </cell>
          <cell r="AN80" t="e">
            <v>#DIV/0!</v>
          </cell>
          <cell r="AO80">
            <v>108.412230897486</v>
          </cell>
          <cell r="AP80" t="e">
            <v>#DIV/0!</v>
          </cell>
          <cell r="AQ80" t="e">
            <v>#DIV/0!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</row>
        <row r="81">
          <cell r="A81" t="str">
            <v>B262路</v>
          </cell>
        </row>
        <row r="81">
          <cell r="C81">
            <v>9</v>
          </cell>
          <cell r="D81">
            <v>4.22059978208528</v>
          </cell>
          <cell r="E81">
            <v>4.289662</v>
          </cell>
          <cell r="F81">
            <v>4.289662</v>
          </cell>
          <cell r="G81">
            <v>0</v>
          </cell>
          <cell r="H81">
            <v>0.0690622179147198</v>
          </cell>
          <cell r="I81">
            <v>101.636312881592</v>
          </cell>
          <cell r="J81">
            <v>808</v>
          </cell>
          <cell r="K81">
            <v>801</v>
          </cell>
          <cell r="L81">
            <v>-7</v>
          </cell>
          <cell r="M81">
            <v>99.1336633663366</v>
          </cell>
          <cell r="N81">
            <v>4.80939388889374</v>
          </cell>
          <cell r="O81">
            <v>5.044</v>
          </cell>
          <cell r="P81">
            <v>0.234606111106261</v>
          </cell>
          <cell r="Q81">
            <v>104.878080617352</v>
          </cell>
          <cell r="R81">
            <v>7.42350465261016</v>
          </cell>
          <cell r="S81">
            <v>6.6626874</v>
          </cell>
          <cell r="T81">
            <v>66626.874</v>
          </cell>
          <cell r="U81">
            <v>1.3384</v>
          </cell>
          <cell r="V81">
            <v>13384</v>
          </cell>
          <cell r="W81">
            <v>5.280005</v>
          </cell>
          <cell r="X81">
            <v>52800.05</v>
          </cell>
          <cell r="Y81">
            <v>0.0246</v>
          </cell>
          <cell r="Z81">
            <v>246</v>
          </cell>
          <cell r="AA81">
            <v>0.0015</v>
          </cell>
          <cell r="AB81">
            <v>15</v>
          </cell>
          <cell r="AC81">
            <v>0.0175824</v>
          </cell>
          <cell r="AD81">
            <v>175.824</v>
          </cell>
          <cell r="AE81">
            <v>0</v>
          </cell>
          <cell r="AF81">
            <v>0</v>
          </cell>
          <cell r="AG81">
            <v>0.0006</v>
          </cell>
          <cell r="AH81">
            <v>6</v>
          </cell>
          <cell r="AI81">
            <v>0</v>
          </cell>
          <cell r="AJ81">
            <v>0</v>
          </cell>
          <cell r="AK81">
            <v>7402.986</v>
          </cell>
          <cell r="AL81">
            <v>-0.760817252610157</v>
          </cell>
          <cell r="AM81">
            <v>89.7512389603925</v>
          </cell>
          <cell r="AN81">
            <v>175.887433916855</v>
          </cell>
          <cell r="AO81">
            <v>155.319635906046</v>
          </cell>
          <cell r="AP81">
            <v>-20.5677980108089</v>
          </cell>
          <cell r="AQ81">
            <v>88.3062720554945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</row>
        <row r="82">
          <cell r="A82" t="str">
            <v>9009路</v>
          </cell>
        </row>
        <row r="82">
          <cell r="D82">
            <v>0</v>
          </cell>
          <cell r="E82">
            <v>0.196967</v>
          </cell>
          <cell r="F82">
            <v>0.196967</v>
          </cell>
          <cell r="G82">
            <v>0</v>
          </cell>
          <cell r="H82">
            <v>0.196967</v>
          </cell>
          <cell r="I82" t="e">
            <v>#DIV/0!</v>
          </cell>
          <cell r="J82">
            <v>0</v>
          </cell>
          <cell r="K82">
            <v>0</v>
          </cell>
          <cell r="L82">
            <v>0</v>
          </cell>
          <cell r="M82" t="e">
            <v>#DIV/0!</v>
          </cell>
          <cell r="N82">
            <v>0</v>
          </cell>
          <cell r="O82">
            <v>0.0031</v>
          </cell>
          <cell r="P82">
            <v>0.0031</v>
          </cell>
          <cell r="Q82" t="e">
            <v>#DIV/0!</v>
          </cell>
          <cell r="R82">
            <v>0</v>
          </cell>
          <cell r="S82">
            <v>0.0222</v>
          </cell>
          <cell r="T82">
            <v>222</v>
          </cell>
          <cell r="U82">
            <v>0</v>
          </cell>
          <cell r="V82">
            <v>0</v>
          </cell>
          <cell r="W82">
            <v>0.0222</v>
          </cell>
          <cell r="X82">
            <v>222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 t="e">
            <v>#DIV/0!</v>
          </cell>
          <cell r="AL82">
            <v>0.0222</v>
          </cell>
          <cell r="AM82" t="e">
            <v>#DIV/0!</v>
          </cell>
          <cell r="AN82" t="e">
            <v>#DIV/0!</v>
          </cell>
          <cell r="AO82">
            <v>11.2709235557225</v>
          </cell>
          <cell r="AP82" t="e">
            <v>#DIV/0!</v>
          </cell>
          <cell r="AQ82" t="e">
            <v>#DIV/0!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</row>
        <row r="83">
          <cell r="A83" t="str">
            <v>9011路</v>
          </cell>
          <cell r="B83" t="str">
            <v>品质</v>
          </cell>
        </row>
        <row r="83">
          <cell r="D83">
            <v>0</v>
          </cell>
          <cell r="E83">
            <v>0.865448</v>
          </cell>
          <cell r="F83">
            <v>0</v>
          </cell>
          <cell r="G83">
            <v>0.865448</v>
          </cell>
          <cell r="H83">
            <v>0.865448</v>
          </cell>
          <cell r="I83" t="e">
            <v>#DIV/0!</v>
          </cell>
          <cell r="J83">
            <v>0</v>
          </cell>
          <cell r="K83">
            <v>1.5</v>
          </cell>
          <cell r="L83">
            <v>1.5</v>
          </cell>
          <cell r="M83" t="e">
            <v>#DIV/0!</v>
          </cell>
          <cell r="N83">
            <v>0</v>
          </cell>
          <cell r="O83">
            <v>0</v>
          </cell>
          <cell r="P83">
            <v>0</v>
          </cell>
          <cell r="Q83" t="e">
            <v>#DIV/0!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3">
          <cell r="W83">
            <v>0</v>
          </cell>
        </row>
        <row r="83">
          <cell r="Y83">
            <v>0</v>
          </cell>
        </row>
        <row r="83">
          <cell r="AA83">
            <v>0</v>
          </cell>
        </row>
        <row r="83">
          <cell r="AC83">
            <v>0</v>
          </cell>
        </row>
        <row r="83">
          <cell r="AE83">
            <v>0</v>
          </cell>
        </row>
        <row r="83">
          <cell r="AG83">
            <v>0</v>
          </cell>
        </row>
        <row r="83">
          <cell r="AI83">
            <v>0</v>
          </cell>
          <cell r="AJ83">
            <v>0</v>
          </cell>
          <cell r="AK83" t="e">
            <v>#DIV/0!</v>
          </cell>
          <cell r="AL83">
            <v>0</v>
          </cell>
          <cell r="AM83" t="e">
            <v>#DIV/0!</v>
          </cell>
          <cell r="AN83" t="e">
            <v>#DIV/0!</v>
          </cell>
          <cell r="AO83">
            <v>0</v>
          </cell>
          <cell r="AP83" t="e">
            <v>#DIV/0!</v>
          </cell>
          <cell r="AQ83" t="e">
            <v>#DIV/0!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</row>
        <row r="84">
          <cell r="A84" t="str">
            <v>4620路</v>
          </cell>
          <cell r="B84" t="str">
            <v>品质</v>
          </cell>
        </row>
        <row r="84">
          <cell r="D84">
            <v>0</v>
          </cell>
          <cell r="E84">
            <v>0.58948</v>
          </cell>
          <cell r="F84">
            <v>0</v>
          </cell>
          <cell r="G84">
            <v>0.58948</v>
          </cell>
          <cell r="H84">
            <v>0.58948</v>
          </cell>
          <cell r="I84" t="e">
            <v>#DIV/0!</v>
          </cell>
          <cell r="J84">
            <v>0</v>
          </cell>
          <cell r="K84">
            <v>117.5</v>
          </cell>
          <cell r="L84">
            <v>117.5</v>
          </cell>
          <cell r="M84" t="e">
            <v>#DIV/0!</v>
          </cell>
          <cell r="N84">
            <v>0</v>
          </cell>
          <cell r="O84">
            <v>0.0082</v>
          </cell>
          <cell r="P84">
            <v>0.0082</v>
          </cell>
          <cell r="Q84" t="e">
            <v>#DIV/0!</v>
          </cell>
          <cell r="R84">
            <v>0</v>
          </cell>
          <cell r="S84">
            <v>1.983566</v>
          </cell>
          <cell r="T84">
            <v>19835.66</v>
          </cell>
          <cell r="U84">
            <v>0</v>
          </cell>
        </row>
        <row r="84">
          <cell r="W84">
            <v>0</v>
          </cell>
        </row>
        <row r="84">
          <cell r="Y84">
            <v>0</v>
          </cell>
        </row>
        <row r="84">
          <cell r="AA84">
            <v>0</v>
          </cell>
        </row>
        <row r="84">
          <cell r="AC84">
            <v>0</v>
          </cell>
        </row>
        <row r="84">
          <cell r="AE84">
            <v>0</v>
          </cell>
        </row>
        <row r="84">
          <cell r="AG84">
            <v>0</v>
          </cell>
        </row>
        <row r="84">
          <cell r="AI84">
            <v>1.983566</v>
          </cell>
          <cell r="AJ84">
            <v>19835.66</v>
          </cell>
          <cell r="AK84" t="e">
            <v>#DIV/0!</v>
          </cell>
          <cell r="AL84">
            <v>1.983566</v>
          </cell>
          <cell r="AM84" t="e">
            <v>#DIV/0!</v>
          </cell>
          <cell r="AN84" t="e">
            <v>#DIV/0!</v>
          </cell>
          <cell r="AO84">
            <v>336.494198276447</v>
          </cell>
          <cell r="AP84" t="e">
            <v>#DIV/0!</v>
          </cell>
          <cell r="AQ84" t="e">
            <v>#DIV/0!</v>
          </cell>
          <cell r="AR84">
            <v>82</v>
          </cell>
          <cell r="AS84">
            <v>19835.66</v>
          </cell>
          <cell r="AT84">
            <v>0</v>
          </cell>
          <cell r="AU84">
            <v>0</v>
          </cell>
        </row>
        <row r="85">
          <cell r="A85" t="str">
            <v>4103路</v>
          </cell>
          <cell r="B85" t="str">
            <v>品质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 t="e">
            <v>#DIV/0!</v>
          </cell>
          <cell r="J85">
            <v>0</v>
          </cell>
          <cell r="K85">
            <v>0</v>
          </cell>
          <cell r="L85">
            <v>0</v>
          </cell>
          <cell r="M85" t="e">
            <v>#DIV/0!</v>
          </cell>
          <cell r="N85">
            <v>0</v>
          </cell>
          <cell r="O85">
            <v>0</v>
          </cell>
          <cell r="P85">
            <v>0</v>
          </cell>
          <cell r="Q85" t="e">
            <v>#DIV/0!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 t="e">
            <v>#DIV/0!</v>
          </cell>
          <cell r="AL85">
            <v>0</v>
          </cell>
          <cell r="AM85" t="e">
            <v>#DIV/0!</v>
          </cell>
          <cell r="AN85" t="e">
            <v>#DIV/0!</v>
          </cell>
          <cell r="AO85" t="e">
            <v>#DIV/0!</v>
          </cell>
          <cell r="AP85" t="e">
            <v>#DIV/0!</v>
          </cell>
          <cell r="AQ85" t="e">
            <v>#DIV/0!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A86" t="str">
            <v>4637路</v>
          </cell>
          <cell r="B86" t="str">
            <v>品质</v>
          </cell>
        </row>
        <row r="86">
          <cell r="T86">
            <v>0</v>
          </cell>
        </row>
        <row r="86"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A87" t="str">
            <v>4635路</v>
          </cell>
          <cell r="B87" t="str">
            <v>品质</v>
          </cell>
        </row>
        <row r="87">
          <cell r="T87">
            <v>0</v>
          </cell>
        </row>
        <row r="87">
          <cell r="AR87">
            <v>0</v>
          </cell>
          <cell r="AS87">
            <v>0</v>
          </cell>
          <cell r="AT87">
            <v>0</v>
          </cell>
          <cell r="AU87">
            <v>0</v>
          </cell>
        </row>
        <row r="88">
          <cell r="A88" t="str">
            <v>5425路</v>
          </cell>
          <cell r="B88" t="str">
            <v>品质</v>
          </cell>
        </row>
        <row r="88">
          <cell r="D88">
            <v>0</v>
          </cell>
          <cell r="E88">
            <v>0.069026</v>
          </cell>
          <cell r="F88">
            <v>0</v>
          </cell>
          <cell r="G88">
            <v>0.069026</v>
          </cell>
          <cell r="H88">
            <v>0.069026</v>
          </cell>
          <cell r="I88" t="e">
            <v>#DIV/0!</v>
          </cell>
          <cell r="J88">
            <v>0</v>
          </cell>
          <cell r="K88">
            <v>56</v>
          </cell>
          <cell r="L88">
            <v>56</v>
          </cell>
          <cell r="M88" t="e">
            <v>#DIV/0!</v>
          </cell>
          <cell r="N88">
            <v>0</v>
          </cell>
          <cell r="O88">
            <v>0.216</v>
          </cell>
          <cell r="P88">
            <v>0.216</v>
          </cell>
          <cell r="Q88" t="e">
            <v>#DIV/0!</v>
          </cell>
          <cell r="R88">
            <v>0</v>
          </cell>
          <cell r="S88">
            <v>0.5008608</v>
          </cell>
          <cell r="T88">
            <v>5008.608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0.5008608</v>
          </cell>
          <cell r="AJ88">
            <v>5008.608</v>
          </cell>
          <cell r="AK88" t="e">
            <v>#DIV/0!</v>
          </cell>
          <cell r="AL88">
            <v>0.5008608</v>
          </cell>
          <cell r="AM88" t="e">
            <v>#DIV/0!</v>
          </cell>
          <cell r="AN88" t="e">
            <v>#DIV/0!</v>
          </cell>
          <cell r="AO88">
            <v>725.611798452757</v>
          </cell>
          <cell r="AP88" t="e">
            <v>#DIV/0!</v>
          </cell>
          <cell r="AQ88" t="e">
            <v>#DIV/0!</v>
          </cell>
          <cell r="AR88">
            <v>2160</v>
          </cell>
          <cell r="AS88">
            <v>5008.608</v>
          </cell>
          <cell r="AT88">
            <v>0</v>
          </cell>
          <cell r="AU88">
            <v>0</v>
          </cell>
        </row>
        <row r="89">
          <cell r="A89" t="str">
            <v>B9路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 t="e">
            <v>#DIV/0!</v>
          </cell>
          <cell r="J89">
            <v>0</v>
          </cell>
          <cell r="K89">
            <v>0</v>
          </cell>
          <cell r="L89">
            <v>0</v>
          </cell>
          <cell r="M89" t="e">
            <v>#DIV/0!</v>
          </cell>
          <cell r="N89">
            <v>0</v>
          </cell>
          <cell r="O89">
            <v>0.3919</v>
          </cell>
          <cell r="P89">
            <v>0.3919</v>
          </cell>
          <cell r="Q89" t="e">
            <v>#DIV/0!</v>
          </cell>
          <cell r="R89">
            <v>0</v>
          </cell>
          <cell r="S89">
            <v>0.6939</v>
          </cell>
          <cell r="T89">
            <v>6939</v>
          </cell>
          <cell r="U89">
            <v>0</v>
          </cell>
        </row>
        <row r="89">
          <cell r="W89">
            <v>0.6939</v>
          </cell>
          <cell r="X89">
            <v>6939</v>
          </cell>
          <cell r="Y89">
            <v>0</v>
          </cell>
        </row>
        <row r="89">
          <cell r="AA89">
            <v>0</v>
          </cell>
        </row>
        <row r="89">
          <cell r="AC89">
            <v>0</v>
          </cell>
        </row>
        <row r="89">
          <cell r="AE89">
            <v>0</v>
          </cell>
        </row>
        <row r="89">
          <cell r="AG89">
            <v>0</v>
          </cell>
        </row>
        <row r="89">
          <cell r="AI89">
            <v>0</v>
          </cell>
          <cell r="AJ89">
            <v>0</v>
          </cell>
          <cell r="AK89" t="e">
            <v>#DIV/0!</v>
          </cell>
          <cell r="AL89">
            <v>0.6939</v>
          </cell>
          <cell r="AM89" t="e">
            <v>#DIV/0!</v>
          </cell>
          <cell r="AN89" t="e">
            <v>#DIV/0!</v>
          </cell>
          <cell r="AO89" t="e">
            <v>#DIV/0!</v>
          </cell>
          <cell r="AP89" t="e">
            <v>#DIV/0!</v>
          </cell>
          <cell r="AQ89" t="e">
            <v>#DIV/0!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92"/>
  <sheetViews>
    <sheetView tabSelected="1" workbookViewId="0">
      <selection activeCell="E2" sqref="E2"/>
    </sheetView>
  </sheetViews>
  <sheetFormatPr defaultColWidth="9" defaultRowHeight="14"/>
  <cols>
    <col min="9" max="17" width="10.9090909090909" customWidth="1"/>
    <col min="18" max="21" width="12.2727272727273" customWidth="1"/>
  </cols>
  <sheetData>
    <row r="1" ht="23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spans="1:21">
      <c r="A2" s="2" t="s">
        <v>1</v>
      </c>
      <c r="B2" s="2"/>
      <c r="C2" s="3"/>
      <c r="D2" s="3"/>
      <c r="E2" s="3"/>
      <c r="F2" s="4"/>
      <c r="G2" s="3"/>
      <c r="H2" s="3"/>
      <c r="I2" s="5"/>
      <c r="J2" s="6"/>
      <c r="K2" s="3"/>
      <c r="L2" s="3"/>
      <c r="M2" s="3"/>
      <c r="N2" s="3"/>
      <c r="O2" s="3"/>
      <c r="P2" s="3"/>
      <c r="Q2" s="3"/>
      <c r="R2" s="7"/>
      <c r="S2" s="7"/>
      <c r="T2" s="8"/>
      <c r="U2" s="9"/>
    </row>
    <row r="3" spans="1:21">
      <c r="A3" s="10" t="s">
        <v>2</v>
      </c>
      <c r="B3" s="11"/>
      <c r="C3" s="12" t="s">
        <v>3</v>
      </c>
      <c r="D3" s="13" t="s">
        <v>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6" t="s">
        <v>5</v>
      </c>
      <c r="U3" s="17" t="s">
        <v>6</v>
      </c>
    </row>
    <row r="4" spans="1:21">
      <c r="A4" s="18"/>
      <c r="B4" s="19"/>
      <c r="C4" s="20"/>
      <c r="D4" s="21" t="s">
        <v>7</v>
      </c>
      <c r="E4" s="21" t="s">
        <v>8</v>
      </c>
      <c r="F4" s="22" t="s">
        <v>9</v>
      </c>
      <c r="G4" s="23"/>
      <c r="H4" s="23"/>
      <c r="I4" s="24"/>
      <c r="J4" s="25" t="s">
        <v>10</v>
      </c>
      <c r="K4" s="26"/>
      <c r="L4" s="26"/>
      <c r="M4" s="26"/>
      <c r="N4" s="26"/>
      <c r="O4" s="26"/>
      <c r="P4" s="26"/>
      <c r="Q4" s="26"/>
      <c r="R4" s="27"/>
      <c r="S4" s="28" t="s">
        <v>11</v>
      </c>
      <c r="T4" s="29"/>
      <c r="U4" s="30"/>
    </row>
    <row r="5" spans="1:21">
      <c r="A5" s="18"/>
      <c r="B5" s="19"/>
      <c r="C5" s="31"/>
      <c r="D5" s="31"/>
      <c r="E5" s="31"/>
      <c r="F5" s="32" t="s">
        <v>12</v>
      </c>
      <c r="G5" s="32" t="s">
        <v>13</v>
      </c>
      <c r="H5" s="32" t="s">
        <v>14</v>
      </c>
      <c r="I5" s="33" t="s">
        <v>15</v>
      </c>
      <c r="J5" s="32" t="s">
        <v>16</v>
      </c>
      <c r="K5" s="32" t="s">
        <v>17</v>
      </c>
      <c r="L5" s="32" t="s">
        <v>18</v>
      </c>
      <c r="M5" s="32" t="s">
        <v>19</v>
      </c>
      <c r="N5" s="32" t="s">
        <v>20</v>
      </c>
      <c r="O5" s="32" t="s">
        <v>21</v>
      </c>
      <c r="P5" s="32" t="s">
        <v>22</v>
      </c>
      <c r="Q5" s="32" t="s">
        <v>23</v>
      </c>
      <c r="R5" s="33" t="s">
        <v>15</v>
      </c>
      <c r="S5" s="34"/>
      <c r="T5" s="29"/>
      <c r="U5" s="30"/>
    </row>
    <row r="6" spans="1:21">
      <c r="A6" s="35" t="s">
        <v>24</v>
      </c>
      <c r="B6" s="36"/>
      <c r="C6" s="37">
        <f t="shared" ref="C6:U6" si="0">SUM(C7:C87)</f>
        <v>736626</v>
      </c>
      <c r="D6" s="37">
        <f t="shared" si="0"/>
        <v>4528641</v>
      </c>
      <c r="E6" s="37">
        <f t="shared" si="0"/>
        <v>184193</v>
      </c>
      <c r="F6" s="37">
        <f t="shared" si="0"/>
        <v>756</v>
      </c>
      <c r="G6" s="37">
        <f t="shared" si="0"/>
        <v>237847</v>
      </c>
      <c r="H6" s="37">
        <f t="shared" si="0"/>
        <v>0</v>
      </c>
      <c r="I6" s="37">
        <f t="shared" si="0"/>
        <v>238603</v>
      </c>
      <c r="J6" s="37">
        <f t="shared" si="0"/>
        <v>1634600</v>
      </c>
      <c r="K6" s="37">
        <f t="shared" si="0"/>
        <v>271862</v>
      </c>
      <c r="L6" s="37">
        <f t="shared" si="0"/>
        <v>72876</v>
      </c>
      <c r="M6" s="37">
        <f t="shared" si="0"/>
        <v>41661</v>
      </c>
      <c r="N6" s="37">
        <f t="shared" si="0"/>
        <v>228493</v>
      </c>
      <c r="O6" s="37">
        <f t="shared" si="0"/>
        <v>0</v>
      </c>
      <c r="P6" s="37">
        <f t="shared" si="0"/>
        <v>3314</v>
      </c>
      <c r="Q6" s="37">
        <f t="shared" si="0"/>
        <v>1899</v>
      </c>
      <c r="R6" s="37">
        <f t="shared" si="0"/>
        <v>2254705</v>
      </c>
      <c r="S6" s="37">
        <f t="shared" si="0"/>
        <v>7206142</v>
      </c>
      <c r="T6" s="37">
        <f t="shared" si="0"/>
        <v>99061</v>
      </c>
      <c r="U6" s="37">
        <f t="shared" si="0"/>
        <v>8035120</v>
      </c>
    </row>
    <row r="7" spans="1:21">
      <c r="A7" s="38" t="s">
        <v>25</v>
      </c>
      <c r="B7" s="39" t="s">
        <v>26</v>
      </c>
      <c r="C7" s="40">
        <v>17980</v>
      </c>
      <c r="D7" s="40">
        <v>135807</v>
      </c>
      <c r="E7" s="40">
        <v>6220</v>
      </c>
      <c r="F7" s="40">
        <v>9</v>
      </c>
      <c r="G7" s="40">
        <v>6933</v>
      </c>
      <c r="H7" s="40">
        <v>0</v>
      </c>
      <c r="I7" s="41">
        <f t="shared" ref="I7:I70" si="1">SUM(F7:H7)</f>
        <v>6942</v>
      </c>
      <c r="J7" s="40">
        <v>52292</v>
      </c>
      <c r="K7" s="40">
        <v>9283</v>
      </c>
      <c r="L7" s="40">
        <v>3625</v>
      </c>
      <c r="M7" s="40">
        <v>1875</v>
      </c>
      <c r="N7" s="40">
        <v>6859</v>
      </c>
      <c r="O7" s="40">
        <v>0</v>
      </c>
      <c r="P7" s="40">
        <v>146</v>
      </c>
      <c r="Q7" s="40">
        <v>104</v>
      </c>
      <c r="R7" s="42">
        <f t="shared" ref="R7:R70" si="2">SUM(J7:Q7)</f>
        <v>74184</v>
      </c>
      <c r="S7" s="41">
        <f t="shared" ref="S7:S70" si="3">R7+I7+E7+D7</f>
        <v>223153</v>
      </c>
      <c r="T7" s="42">
        <f>IFERROR(VLOOKUP(B7,[1]月分析表!$A$9:$AT$120,44,0),0)+IFERROR(VLOOKUP(B7,[1]月分析表!$A$9:$AU$120,46,0),0)</f>
        <v>305</v>
      </c>
      <c r="U7" s="43">
        <f t="shared" ref="U7:U23" si="4">S7+C7+T7</f>
        <v>241438</v>
      </c>
    </row>
    <row r="8" spans="1:21">
      <c r="A8" s="44"/>
      <c r="B8" s="39" t="s">
        <v>27</v>
      </c>
      <c r="C8" s="40">
        <v>20497</v>
      </c>
      <c r="D8" s="40">
        <v>117514</v>
      </c>
      <c r="E8" s="40">
        <v>3553</v>
      </c>
      <c r="F8" s="40">
        <v>0</v>
      </c>
      <c r="G8" s="40">
        <v>7865</v>
      </c>
      <c r="H8" s="40">
        <v>0</v>
      </c>
      <c r="I8" s="41">
        <f t="shared" si="1"/>
        <v>7865</v>
      </c>
      <c r="J8" s="40">
        <v>31861</v>
      </c>
      <c r="K8" s="40">
        <v>6139</v>
      </c>
      <c r="L8" s="40">
        <v>1523</v>
      </c>
      <c r="M8" s="40">
        <v>1038</v>
      </c>
      <c r="N8" s="40">
        <v>5936</v>
      </c>
      <c r="O8" s="40">
        <v>0</v>
      </c>
      <c r="P8" s="40">
        <v>138</v>
      </c>
      <c r="Q8" s="40">
        <v>38</v>
      </c>
      <c r="R8" s="42">
        <f t="shared" si="2"/>
        <v>46673</v>
      </c>
      <c r="S8" s="41">
        <f t="shared" si="3"/>
        <v>175605</v>
      </c>
      <c r="T8" s="42">
        <f>IFERROR(VLOOKUP(B8,[1]月分析表!$A$9:$AT$120,44,0),0)+IFERROR(VLOOKUP(B8,[1]月分析表!$A$9:$AU$120,46,0),0)</f>
        <v>63</v>
      </c>
      <c r="U8" s="43">
        <f t="shared" si="4"/>
        <v>196165</v>
      </c>
    </row>
    <row r="9" spans="1:21">
      <c r="A9" s="44"/>
      <c r="B9" s="39" t="s">
        <v>28</v>
      </c>
      <c r="C9" s="40">
        <v>8795</v>
      </c>
      <c r="D9" s="40">
        <v>78004</v>
      </c>
      <c r="E9" s="40">
        <v>4462</v>
      </c>
      <c r="F9" s="40">
        <v>2</v>
      </c>
      <c r="G9" s="40">
        <v>2390</v>
      </c>
      <c r="H9" s="40">
        <v>0</v>
      </c>
      <c r="I9" s="41">
        <f t="shared" si="1"/>
        <v>2392</v>
      </c>
      <c r="J9" s="40">
        <v>51183</v>
      </c>
      <c r="K9" s="40">
        <v>6857</v>
      </c>
      <c r="L9" s="40">
        <v>2826</v>
      </c>
      <c r="M9" s="40">
        <v>1017</v>
      </c>
      <c r="N9" s="40">
        <v>3940</v>
      </c>
      <c r="O9" s="40">
        <v>0</v>
      </c>
      <c r="P9" s="40">
        <v>155</v>
      </c>
      <c r="Q9" s="40">
        <v>52</v>
      </c>
      <c r="R9" s="42">
        <f t="shared" si="2"/>
        <v>66030</v>
      </c>
      <c r="S9" s="41">
        <f t="shared" si="3"/>
        <v>150888</v>
      </c>
      <c r="T9" s="42">
        <f>IFERROR(VLOOKUP(B9,[1]月分析表!$A$9:$AT$120,44,0),0)+IFERROR(VLOOKUP(B9,[1]月分析表!$A$9:$AU$120,46,0),0)</f>
        <v>7746</v>
      </c>
      <c r="U9" s="43">
        <f t="shared" si="4"/>
        <v>167429</v>
      </c>
    </row>
    <row r="10" spans="1:21">
      <c r="A10" s="44"/>
      <c r="B10" s="39" t="s">
        <v>29</v>
      </c>
      <c r="C10" s="40">
        <v>11338</v>
      </c>
      <c r="D10" s="40">
        <v>88403</v>
      </c>
      <c r="E10" s="40">
        <v>2467</v>
      </c>
      <c r="F10" s="40">
        <v>3</v>
      </c>
      <c r="G10" s="40">
        <v>5269</v>
      </c>
      <c r="H10" s="40">
        <v>0</v>
      </c>
      <c r="I10" s="41">
        <f t="shared" si="1"/>
        <v>5272</v>
      </c>
      <c r="J10" s="40">
        <v>18957</v>
      </c>
      <c r="K10" s="40">
        <v>3772</v>
      </c>
      <c r="L10" s="40">
        <v>1108</v>
      </c>
      <c r="M10" s="40">
        <v>610</v>
      </c>
      <c r="N10" s="40">
        <v>4465</v>
      </c>
      <c r="O10" s="40">
        <v>0</v>
      </c>
      <c r="P10" s="40">
        <v>43</v>
      </c>
      <c r="Q10" s="40">
        <v>15</v>
      </c>
      <c r="R10" s="42">
        <f t="shared" si="2"/>
        <v>28970</v>
      </c>
      <c r="S10" s="41">
        <f t="shared" si="3"/>
        <v>125112</v>
      </c>
      <c r="T10" s="42">
        <f>IFERROR(VLOOKUP(B10,[1]月分析表!$A$9:$AT$120,44,0),0)+IFERROR(VLOOKUP(B10,[1]月分析表!$A$9:$AU$120,46,0),0)</f>
        <v>0</v>
      </c>
      <c r="U10" s="43">
        <f t="shared" si="4"/>
        <v>136450</v>
      </c>
    </row>
    <row r="11" spans="1:21">
      <c r="A11" s="44"/>
      <c r="B11" s="39" t="s">
        <v>30</v>
      </c>
      <c r="C11" s="40">
        <v>10807</v>
      </c>
      <c r="D11" s="40">
        <v>98497</v>
      </c>
      <c r="E11" s="40">
        <v>4258</v>
      </c>
      <c r="F11" s="40">
        <v>3</v>
      </c>
      <c r="G11" s="40">
        <v>2797</v>
      </c>
      <c r="H11" s="40">
        <v>0</v>
      </c>
      <c r="I11" s="41">
        <f t="shared" si="1"/>
        <v>2800</v>
      </c>
      <c r="J11" s="40">
        <v>30475</v>
      </c>
      <c r="K11" s="40">
        <v>5885</v>
      </c>
      <c r="L11" s="40">
        <v>2606</v>
      </c>
      <c r="M11" s="40">
        <v>1077</v>
      </c>
      <c r="N11" s="40">
        <v>4975</v>
      </c>
      <c r="O11" s="40">
        <v>0</v>
      </c>
      <c r="P11" s="40">
        <v>127</v>
      </c>
      <c r="Q11" s="40">
        <v>94</v>
      </c>
      <c r="R11" s="42">
        <f t="shared" si="2"/>
        <v>45239</v>
      </c>
      <c r="S11" s="41">
        <f t="shared" si="3"/>
        <v>150794</v>
      </c>
      <c r="T11" s="42">
        <f>IFERROR(VLOOKUP(B11,[1]月分析表!$A$9:$AT$120,44,0),0)+IFERROR(VLOOKUP(B11,[1]月分析表!$A$9:$AU$120,46,0),0)</f>
        <v>1843</v>
      </c>
      <c r="U11" s="43">
        <f t="shared" si="4"/>
        <v>163444</v>
      </c>
    </row>
    <row r="12" spans="1:21">
      <c r="A12" s="44"/>
      <c r="B12" s="39" t="s">
        <v>31</v>
      </c>
      <c r="C12" s="40">
        <v>9346</v>
      </c>
      <c r="D12" s="40">
        <v>75631</v>
      </c>
      <c r="E12" s="40">
        <v>2347</v>
      </c>
      <c r="F12" s="40">
        <v>1</v>
      </c>
      <c r="G12" s="40">
        <v>3340</v>
      </c>
      <c r="H12" s="40">
        <v>0</v>
      </c>
      <c r="I12" s="41">
        <f t="shared" si="1"/>
        <v>3341</v>
      </c>
      <c r="J12" s="40">
        <v>19061</v>
      </c>
      <c r="K12" s="40">
        <v>4577</v>
      </c>
      <c r="L12" s="40">
        <v>1537</v>
      </c>
      <c r="M12" s="40">
        <v>977</v>
      </c>
      <c r="N12" s="40">
        <v>3820</v>
      </c>
      <c r="O12" s="40">
        <v>0</v>
      </c>
      <c r="P12" s="40">
        <v>63</v>
      </c>
      <c r="Q12" s="40">
        <v>42</v>
      </c>
      <c r="R12" s="42">
        <f t="shared" si="2"/>
        <v>30077</v>
      </c>
      <c r="S12" s="41">
        <f t="shared" si="3"/>
        <v>111396</v>
      </c>
      <c r="T12" s="42">
        <f>IFERROR(VLOOKUP(B12,[1]月分析表!$A$9:$AT$120,44,0),0)+IFERROR(VLOOKUP(B12,[1]月分析表!$A$9:$AU$120,46,0),0)</f>
        <v>0</v>
      </c>
      <c r="U12" s="43">
        <f t="shared" si="4"/>
        <v>120742</v>
      </c>
    </row>
    <row r="13" spans="1:21">
      <c r="A13" s="44"/>
      <c r="B13" s="45" t="s">
        <v>32</v>
      </c>
      <c r="C13" s="40">
        <v>2637</v>
      </c>
      <c r="D13" s="40">
        <v>11787</v>
      </c>
      <c r="E13" s="40">
        <v>344</v>
      </c>
      <c r="F13" s="40">
        <v>0</v>
      </c>
      <c r="G13" s="40">
        <v>982</v>
      </c>
      <c r="H13" s="40">
        <v>0</v>
      </c>
      <c r="I13" s="41">
        <f t="shared" si="1"/>
        <v>982</v>
      </c>
      <c r="J13" s="40">
        <v>2930</v>
      </c>
      <c r="K13" s="40">
        <v>673</v>
      </c>
      <c r="L13" s="40">
        <v>63</v>
      </c>
      <c r="M13" s="40">
        <v>128</v>
      </c>
      <c r="N13" s="40">
        <v>595</v>
      </c>
      <c r="O13" s="40">
        <v>0</v>
      </c>
      <c r="P13" s="40">
        <v>1</v>
      </c>
      <c r="Q13" s="40">
        <v>2</v>
      </c>
      <c r="R13" s="42">
        <f t="shared" si="2"/>
        <v>4392</v>
      </c>
      <c r="S13" s="41">
        <f t="shared" si="3"/>
        <v>17505</v>
      </c>
      <c r="T13" s="42">
        <f>IFERROR(VLOOKUP(B13,[1]月分析表!$A$9:$AT$120,44,0),0)+IFERROR(VLOOKUP(B13,[1]月分析表!$A$9:$AU$120,46,0),0)</f>
        <v>0</v>
      </c>
      <c r="U13" s="43">
        <f t="shared" si="4"/>
        <v>20142</v>
      </c>
    </row>
    <row r="14" spans="1:21">
      <c r="A14" s="44"/>
      <c r="B14" s="45" t="s">
        <v>33</v>
      </c>
      <c r="C14" s="40">
        <v>9525</v>
      </c>
      <c r="D14" s="40">
        <v>96488</v>
      </c>
      <c r="E14" s="40">
        <v>2368</v>
      </c>
      <c r="F14" s="40">
        <v>1</v>
      </c>
      <c r="G14" s="40">
        <v>3585</v>
      </c>
      <c r="H14" s="40">
        <v>0</v>
      </c>
      <c r="I14" s="41">
        <f t="shared" si="1"/>
        <v>3586</v>
      </c>
      <c r="J14" s="40">
        <v>21137</v>
      </c>
      <c r="K14" s="40">
        <v>3825</v>
      </c>
      <c r="L14" s="40">
        <v>982</v>
      </c>
      <c r="M14" s="40">
        <v>574</v>
      </c>
      <c r="N14" s="40">
        <v>4873</v>
      </c>
      <c r="O14" s="40">
        <v>0</v>
      </c>
      <c r="P14" s="40">
        <v>33</v>
      </c>
      <c r="Q14" s="40">
        <v>19</v>
      </c>
      <c r="R14" s="42">
        <f t="shared" si="2"/>
        <v>31443</v>
      </c>
      <c r="S14" s="41">
        <f t="shared" si="3"/>
        <v>133885</v>
      </c>
      <c r="T14" s="42">
        <f>IFERROR(VLOOKUP(B14,[1]月分析表!$A$9:$AT$120,44,0),0)+IFERROR(VLOOKUP(B14,[1]月分析表!$A$9:$AU$120,46,0),0)</f>
        <v>0</v>
      </c>
      <c r="U14" s="43">
        <f t="shared" si="4"/>
        <v>143410</v>
      </c>
    </row>
    <row r="15" spans="1:21">
      <c r="A15" s="44"/>
      <c r="B15" s="39" t="s">
        <v>34</v>
      </c>
      <c r="C15" s="40">
        <v>2457</v>
      </c>
      <c r="D15" s="40">
        <v>5802</v>
      </c>
      <c r="E15" s="40">
        <v>185</v>
      </c>
      <c r="F15" s="40">
        <v>1</v>
      </c>
      <c r="G15" s="40">
        <v>1464</v>
      </c>
      <c r="H15" s="40">
        <v>0</v>
      </c>
      <c r="I15" s="41">
        <f t="shared" si="1"/>
        <v>1465</v>
      </c>
      <c r="J15" s="40">
        <v>2736</v>
      </c>
      <c r="K15" s="40">
        <v>358</v>
      </c>
      <c r="L15" s="40">
        <v>54</v>
      </c>
      <c r="M15" s="40">
        <v>71</v>
      </c>
      <c r="N15" s="40">
        <v>293</v>
      </c>
      <c r="O15" s="40">
        <v>0</v>
      </c>
      <c r="P15" s="40">
        <v>0</v>
      </c>
      <c r="Q15" s="40">
        <v>0</v>
      </c>
      <c r="R15" s="42">
        <f t="shared" si="2"/>
        <v>3512</v>
      </c>
      <c r="S15" s="41">
        <f t="shared" si="3"/>
        <v>10964</v>
      </c>
      <c r="T15" s="42">
        <f>IFERROR(VLOOKUP(B15,[1]月分析表!$A$9:$AT$120,44,0),0)+IFERROR(VLOOKUP(B15,[1]月分析表!$A$9:$AU$120,46,0),0)</f>
        <v>0</v>
      </c>
      <c r="U15" s="43">
        <f t="shared" si="4"/>
        <v>13421</v>
      </c>
    </row>
    <row r="16" spans="1:21">
      <c r="A16" s="44"/>
      <c r="B16" s="46" t="s">
        <v>35</v>
      </c>
      <c r="C16" s="40">
        <v>3871</v>
      </c>
      <c r="D16" s="40">
        <v>15231</v>
      </c>
      <c r="E16" s="40">
        <v>899</v>
      </c>
      <c r="F16" s="40">
        <v>0</v>
      </c>
      <c r="G16" s="40">
        <v>5056</v>
      </c>
      <c r="H16" s="40">
        <v>0</v>
      </c>
      <c r="I16" s="41">
        <f t="shared" si="1"/>
        <v>5056</v>
      </c>
      <c r="J16" s="40">
        <v>9304</v>
      </c>
      <c r="K16" s="40">
        <v>2768</v>
      </c>
      <c r="L16" s="40">
        <v>405</v>
      </c>
      <c r="M16" s="40">
        <v>195</v>
      </c>
      <c r="N16" s="40">
        <v>770</v>
      </c>
      <c r="O16" s="40">
        <v>0</v>
      </c>
      <c r="P16" s="40">
        <v>39</v>
      </c>
      <c r="Q16" s="40">
        <v>32</v>
      </c>
      <c r="R16" s="42">
        <f t="shared" si="2"/>
        <v>13513</v>
      </c>
      <c r="S16" s="41">
        <f t="shared" si="3"/>
        <v>34699</v>
      </c>
      <c r="T16" s="42">
        <f>IFERROR(VLOOKUP(B16,[1]月分析表!$A$9:$AT$120,44,0),0)+IFERROR(VLOOKUP(B16,[1]月分析表!$A$9:$AU$120,46,0),0)</f>
        <v>0</v>
      </c>
      <c r="U16" s="43">
        <f t="shared" si="4"/>
        <v>38570</v>
      </c>
    </row>
    <row r="17" spans="1:21">
      <c r="A17" s="47"/>
      <c r="B17" s="45" t="s">
        <v>36</v>
      </c>
      <c r="C17" s="40">
        <v>740</v>
      </c>
      <c r="D17" s="40">
        <v>2294</v>
      </c>
      <c r="E17" s="40">
        <v>93</v>
      </c>
      <c r="F17" s="40">
        <v>0</v>
      </c>
      <c r="G17" s="40">
        <v>36</v>
      </c>
      <c r="H17" s="40">
        <v>0</v>
      </c>
      <c r="I17" s="41">
        <f t="shared" si="1"/>
        <v>36</v>
      </c>
      <c r="J17" s="40">
        <v>997</v>
      </c>
      <c r="K17" s="40">
        <v>179</v>
      </c>
      <c r="L17" s="40">
        <v>30</v>
      </c>
      <c r="M17" s="40">
        <v>17</v>
      </c>
      <c r="N17" s="40">
        <v>116</v>
      </c>
      <c r="O17" s="40">
        <v>0</v>
      </c>
      <c r="P17" s="40">
        <v>0</v>
      </c>
      <c r="Q17" s="40">
        <v>2</v>
      </c>
      <c r="R17" s="42">
        <f t="shared" si="2"/>
        <v>1341</v>
      </c>
      <c r="S17" s="41">
        <f t="shared" si="3"/>
        <v>3764</v>
      </c>
      <c r="T17" s="42">
        <f>IFERROR(VLOOKUP(B17,[1]月分析表!$A$9:$AT$120,44,0),0)+IFERROR(VLOOKUP(B17,[1]月分析表!$A$9:$AU$120,46,0),0)</f>
        <v>0</v>
      </c>
      <c r="U17" s="43">
        <f t="shared" si="4"/>
        <v>4504</v>
      </c>
    </row>
    <row r="18" spans="1:21">
      <c r="A18" s="38" t="s">
        <v>37</v>
      </c>
      <c r="B18" s="45" t="s">
        <v>38</v>
      </c>
      <c r="C18" s="40">
        <v>30079</v>
      </c>
      <c r="D18" s="40">
        <v>131243</v>
      </c>
      <c r="E18" s="40">
        <v>6698</v>
      </c>
      <c r="F18" s="40">
        <v>3</v>
      </c>
      <c r="G18" s="40">
        <v>8478</v>
      </c>
      <c r="H18" s="40">
        <v>0</v>
      </c>
      <c r="I18" s="41">
        <f t="shared" si="1"/>
        <v>8481</v>
      </c>
      <c r="J18" s="40">
        <v>62303</v>
      </c>
      <c r="K18" s="40">
        <v>8642</v>
      </c>
      <c r="L18" s="40">
        <v>1539</v>
      </c>
      <c r="M18" s="40">
        <v>1375</v>
      </c>
      <c r="N18" s="40">
        <v>6629</v>
      </c>
      <c r="O18" s="40">
        <v>0</v>
      </c>
      <c r="P18" s="40">
        <v>43</v>
      </c>
      <c r="Q18" s="40">
        <v>46</v>
      </c>
      <c r="R18" s="42">
        <f t="shared" si="2"/>
        <v>80577</v>
      </c>
      <c r="S18" s="41">
        <f t="shared" si="3"/>
        <v>226999</v>
      </c>
      <c r="T18" s="42">
        <f>IFERROR(VLOOKUP(B18,[1]月分析表!$A$9:$AT$120,44,0),0)+IFERROR(VLOOKUP(B18,[1]月分析表!$A$9:$AU$120,46,0),0)</f>
        <v>591</v>
      </c>
      <c r="U18" s="43">
        <f t="shared" si="4"/>
        <v>257669</v>
      </c>
    </row>
    <row r="19" spans="1:21">
      <c r="A19" s="44"/>
      <c r="B19" s="39" t="s">
        <v>39</v>
      </c>
      <c r="C19" s="40">
        <v>14444</v>
      </c>
      <c r="D19" s="40">
        <v>128668</v>
      </c>
      <c r="E19" s="40">
        <v>2393</v>
      </c>
      <c r="F19" s="40">
        <v>1</v>
      </c>
      <c r="G19" s="40">
        <v>1696</v>
      </c>
      <c r="H19" s="40">
        <v>0</v>
      </c>
      <c r="I19" s="41">
        <f t="shared" si="1"/>
        <v>1697</v>
      </c>
      <c r="J19" s="40">
        <v>17565</v>
      </c>
      <c r="K19" s="40">
        <v>3903</v>
      </c>
      <c r="L19" s="40">
        <v>1095</v>
      </c>
      <c r="M19" s="40">
        <v>682</v>
      </c>
      <c r="N19" s="40">
        <v>6498</v>
      </c>
      <c r="O19" s="40">
        <v>0</v>
      </c>
      <c r="P19" s="40">
        <v>33</v>
      </c>
      <c r="Q19" s="40">
        <v>12</v>
      </c>
      <c r="R19" s="42">
        <f t="shared" si="2"/>
        <v>29788</v>
      </c>
      <c r="S19" s="41">
        <f t="shared" si="3"/>
        <v>162546</v>
      </c>
      <c r="T19" s="42">
        <f>IFERROR(VLOOKUP(B19,[1]月分析表!$A$9:$AT$120,44,0),0)+IFERROR(VLOOKUP(B19,[1]月分析表!$A$9:$AU$120,46,0),0)</f>
        <v>186</v>
      </c>
      <c r="U19" s="43">
        <f t="shared" si="4"/>
        <v>177176</v>
      </c>
    </row>
    <row r="20" spans="1:21">
      <c r="A20" s="44"/>
      <c r="B20" s="48" t="s">
        <v>40</v>
      </c>
      <c r="C20" s="40">
        <v>57079</v>
      </c>
      <c r="D20" s="40">
        <v>225621</v>
      </c>
      <c r="E20" s="40">
        <v>10387</v>
      </c>
      <c r="F20" s="40">
        <v>6</v>
      </c>
      <c r="G20" s="40">
        <v>11832</v>
      </c>
      <c r="H20" s="40">
        <v>0</v>
      </c>
      <c r="I20" s="41">
        <f t="shared" si="1"/>
        <v>11838</v>
      </c>
      <c r="J20" s="40">
        <v>97597</v>
      </c>
      <c r="K20" s="40">
        <v>16367</v>
      </c>
      <c r="L20" s="40">
        <v>5707</v>
      </c>
      <c r="M20" s="40">
        <v>3221</v>
      </c>
      <c r="N20" s="40">
        <v>11396</v>
      </c>
      <c r="O20" s="40">
        <v>0</v>
      </c>
      <c r="P20" s="40">
        <v>171</v>
      </c>
      <c r="Q20" s="40">
        <v>96</v>
      </c>
      <c r="R20" s="42">
        <f t="shared" si="2"/>
        <v>134555</v>
      </c>
      <c r="S20" s="41">
        <f t="shared" si="3"/>
        <v>382401</v>
      </c>
      <c r="T20" s="42">
        <f>IFERROR(VLOOKUP(B20,[1]月分析表!$A$9:$AT$120,44,0),0)+IFERROR(VLOOKUP(B20,[1]月分析表!$A$9:$AU$120,46,0),0)</f>
        <v>5590</v>
      </c>
      <c r="U20" s="43">
        <f t="shared" si="4"/>
        <v>445070</v>
      </c>
    </row>
    <row r="21" spans="1:21">
      <c r="A21" s="44"/>
      <c r="B21" s="48" t="s">
        <v>41</v>
      </c>
      <c r="C21" s="40">
        <v>19143</v>
      </c>
      <c r="D21" s="40">
        <v>119167</v>
      </c>
      <c r="E21" s="40">
        <v>2178</v>
      </c>
      <c r="F21" s="40">
        <v>20</v>
      </c>
      <c r="G21" s="40">
        <v>1664</v>
      </c>
      <c r="H21" s="40">
        <v>0</v>
      </c>
      <c r="I21" s="41">
        <f t="shared" si="1"/>
        <v>1684</v>
      </c>
      <c r="J21" s="40">
        <v>12618</v>
      </c>
      <c r="K21" s="40">
        <v>4254</v>
      </c>
      <c r="L21" s="40">
        <v>847</v>
      </c>
      <c r="M21" s="40">
        <v>465</v>
      </c>
      <c r="N21" s="40">
        <v>6019</v>
      </c>
      <c r="O21" s="40">
        <v>0</v>
      </c>
      <c r="P21" s="40">
        <v>30</v>
      </c>
      <c r="Q21" s="40">
        <v>30</v>
      </c>
      <c r="R21" s="42">
        <f t="shared" si="2"/>
        <v>24263</v>
      </c>
      <c r="S21" s="41">
        <f t="shared" si="3"/>
        <v>147292</v>
      </c>
      <c r="T21" s="42">
        <f>IFERROR(VLOOKUP(B21,[1]月分析表!$A$9:$AT$120,44,0),0)+IFERROR(VLOOKUP(B21,[1]月分析表!$A$9:$AU$120,46,0),0)</f>
        <v>191</v>
      </c>
      <c r="U21" s="43">
        <f t="shared" si="4"/>
        <v>166626</v>
      </c>
    </row>
    <row r="22" spans="1:21">
      <c r="A22" s="44"/>
      <c r="B22" s="46" t="s">
        <v>42</v>
      </c>
      <c r="C22" s="40">
        <v>289</v>
      </c>
      <c r="D22" s="40">
        <v>7399</v>
      </c>
      <c r="E22" s="40">
        <v>71</v>
      </c>
      <c r="F22" s="40">
        <v>0</v>
      </c>
      <c r="G22" s="40">
        <v>50</v>
      </c>
      <c r="H22" s="40">
        <v>0</v>
      </c>
      <c r="I22" s="41">
        <f t="shared" si="1"/>
        <v>50</v>
      </c>
      <c r="J22" s="40">
        <v>877</v>
      </c>
      <c r="K22" s="40">
        <v>215</v>
      </c>
      <c r="L22" s="40">
        <v>55</v>
      </c>
      <c r="M22" s="40">
        <v>45</v>
      </c>
      <c r="N22" s="40">
        <v>374</v>
      </c>
      <c r="O22" s="40">
        <v>0</v>
      </c>
      <c r="P22" s="40">
        <v>3</v>
      </c>
      <c r="Q22" s="40">
        <v>2</v>
      </c>
      <c r="R22" s="42">
        <f t="shared" si="2"/>
        <v>1571</v>
      </c>
      <c r="S22" s="41">
        <f t="shared" si="3"/>
        <v>9091</v>
      </c>
      <c r="T22" s="42">
        <f>IFERROR(VLOOKUP(B22,[1]月分析表!$A$9:$AT$120,44,0),0)+IFERROR(VLOOKUP(B22,[1]月分析表!$A$9:$AU$120,46,0),0)</f>
        <v>3313</v>
      </c>
      <c r="U22" s="43">
        <f t="shared" si="4"/>
        <v>12693</v>
      </c>
    </row>
    <row r="23" spans="1:21">
      <c r="A23" s="44"/>
      <c r="B23" s="48" t="s">
        <v>43</v>
      </c>
      <c r="C23" s="40">
        <v>623</v>
      </c>
      <c r="D23" s="40">
        <v>8266</v>
      </c>
      <c r="E23" s="40">
        <v>84</v>
      </c>
      <c r="F23" s="40">
        <v>0</v>
      </c>
      <c r="G23" s="40">
        <v>51</v>
      </c>
      <c r="H23" s="40">
        <v>0</v>
      </c>
      <c r="I23" s="41">
        <f t="shared" si="1"/>
        <v>51</v>
      </c>
      <c r="J23" s="40">
        <v>842</v>
      </c>
      <c r="K23" s="40">
        <v>141</v>
      </c>
      <c r="L23" s="40">
        <v>71</v>
      </c>
      <c r="M23" s="40">
        <v>70</v>
      </c>
      <c r="N23" s="40">
        <v>418</v>
      </c>
      <c r="O23" s="40">
        <v>0</v>
      </c>
      <c r="P23" s="40">
        <v>6</v>
      </c>
      <c r="Q23" s="40">
        <v>1</v>
      </c>
      <c r="R23" s="42">
        <f t="shared" si="2"/>
        <v>1549</v>
      </c>
      <c r="S23" s="41">
        <f t="shared" si="3"/>
        <v>9950</v>
      </c>
      <c r="T23" s="42">
        <f>IFERROR(VLOOKUP(B23,[1]月分析表!$A$9:$AT$120,44,0),0)+IFERROR(VLOOKUP(B23,[1]月分析表!$A$9:$AU$120,46,0),0)</f>
        <v>0</v>
      </c>
      <c r="U23" s="43">
        <f t="shared" si="4"/>
        <v>10573</v>
      </c>
    </row>
    <row r="24" spans="1:21">
      <c r="A24" s="44"/>
      <c r="B24" s="48" t="s">
        <v>44</v>
      </c>
      <c r="C24" s="49">
        <v>1696</v>
      </c>
      <c r="D24" s="49">
        <v>2350</v>
      </c>
      <c r="E24" s="49">
        <v>12</v>
      </c>
      <c r="F24" s="49">
        <v>0</v>
      </c>
      <c r="G24" s="49">
        <v>0</v>
      </c>
      <c r="H24" s="49">
        <v>0</v>
      </c>
      <c r="I24" s="50">
        <f t="shared" si="1"/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2">
        <f t="shared" si="2"/>
        <v>0</v>
      </c>
      <c r="S24" s="41">
        <f t="shared" si="3"/>
        <v>2362</v>
      </c>
      <c r="T24" s="51">
        <f>IFERROR(VLOOKUP(B24,[1]月分析表!$A$9:$AT$78,44,0),0)+IFERROR(VLOOKUP(B24,[1]月分析表!$A$9:$AU$78,46,0),0)+S24+C24</f>
        <v>4058</v>
      </c>
      <c r="U24" s="43">
        <f>T24</f>
        <v>4058</v>
      </c>
    </row>
    <row r="25" spans="1:21">
      <c r="A25" s="44"/>
      <c r="B25" s="45" t="s">
        <v>45</v>
      </c>
      <c r="C25" s="40">
        <v>2558</v>
      </c>
      <c r="D25" s="40">
        <v>12755</v>
      </c>
      <c r="E25" s="40">
        <v>333</v>
      </c>
      <c r="F25" s="40">
        <v>0</v>
      </c>
      <c r="G25" s="40">
        <v>132</v>
      </c>
      <c r="H25" s="40">
        <v>0</v>
      </c>
      <c r="I25" s="41">
        <f t="shared" si="1"/>
        <v>132</v>
      </c>
      <c r="J25" s="40">
        <v>1639</v>
      </c>
      <c r="K25" s="40">
        <v>590</v>
      </c>
      <c r="L25" s="40">
        <v>95</v>
      </c>
      <c r="M25" s="40">
        <v>102</v>
      </c>
      <c r="N25" s="40">
        <v>645</v>
      </c>
      <c r="O25" s="40">
        <v>0</v>
      </c>
      <c r="P25" s="40">
        <v>3</v>
      </c>
      <c r="Q25" s="40">
        <v>5</v>
      </c>
      <c r="R25" s="42">
        <f t="shared" si="2"/>
        <v>3079</v>
      </c>
      <c r="S25" s="41">
        <f t="shared" si="3"/>
        <v>16299</v>
      </c>
      <c r="T25" s="42">
        <f>IFERROR(VLOOKUP(B25,[1]月分析表!$A$9:$AT$120,44,0),0)+IFERROR(VLOOKUP(B25,[1]月分析表!$A$9:$AU$120,46,0),0)</f>
        <v>0</v>
      </c>
      <c r="U25" s="43">
        <f t="shared" ref="U25:U68" si="5">S25+C25+T25</f>
        <v>18857</v>
      </c>
    </row>
    <row r="26" spans="1:21">
      <c r="A26" s="47"/>
      <c r="B26" s="39" t="s">
        <v>46</v>
      </c>
      <c r="C26" s="40">
        <v>26226</v>
      </c>
      <c r="D26" s="40">
        <v>119991</v>
      </c>
      <c r="E26" s="40">
        <v>4814</v>
      </c>
      <c r="F26" s="40">
        <v>0</v>
      </c>
      <c r="G26" s="40">
        <v>3392</v>
      </c>
      <c r="H26" s="40">
        <v>0</v>
      </c>
      <c r="I26" s="41">
        <f t="shared" si="1"/>
        <v>3392</v>
      </c>
      <c r="J26" s="40">
        <v>42001</v>
      </c>
      <c r="K26" s="40">
        <v>6826</v>
      </c>
      <c r="L26" s="40">
        <v>2362</v>
      </c>
      <c r="M26" s="40">
        <v>1320</v>
      </c>
      <c r="N26" s="40">
        <v>6061</v>
      </c>
      <c r="O26" s="40">
        <v>0</v>
      </c>
      <c r="P26" s="40">
        <v>84</v>
      </c>
      <c r="Q26" s="40">
        <v>26</v>
      </c>
      <c r="R26" s="42">
        <f t="shared" si="2"/>
        <v>58680</v>
      </c>
      <c r="S26" s="41">
        <f t="shared" si="3"/>
        <v>186877</v>
      </c>
      <c r="T26" s="42">
        <f>IFERROR(VLOOKUP(B26,[1]月分析表!$A$9:$AT$120,44,0),0)+IFERROR(VLOOKUP(B26,[1]月分析表!$A$9:$AU$120,46,0),0)</f>
        <v>1713</v>
      </c>
      <c r="U26" s="43">
        <f t="shared" si="5"/>
        <v>214816</v>
      </c>
    </row>
    <row r="27" spans="1:21">
      <c r="A27" s="38" t="s">
        <v>47</v>
      </c>
      <c r="B27" s="45" t="s">
        <v>48</v>
      </c>
      <c r="C27" s="40">
        <v>24466</v>
      </c>
      <c r="D27" s="40">
        <v>179519</v>
      </c>
      <c r="E27" s="40">
        <v>7458</v>
      </c>
      <c r="F27" s="40">
        <v>86</v>
      </c>
      <c r="G27" s="40">
        <v>7990</v>
      </c>
      <c r="H27" s="40">
        <v>0</v>
      </c>
      <c r="I27" s="41">
        <f t="shared" si="1"/>
        <v>8076</v>
      </c>
      <c r="J27" s="40">
        <v>69019</v>
      </c>
      <c r="K27" s="40">
        <v>10419</v>
      </c>
      <c r="L27" s="40">
        <v>2481</v>
      </c>
      <c r="M27" s="40">
        <v>1531</v>
      </c>
      <c r="N27" s="40">
        <v>9068</v>
      </c>
      <c r="O27" s="40">
        <v>0</v>
      </c>
      <c r="P27" s="40">
        <v>118</v>
      </c>
      <c r="Q27" s="40">
        <v>116</v>
      </c>
      <c r="R27" s="42">
        <f t="shared" si="2"/>
        <v>92752</v>
      </c>
      <c r="S27" s="41">
        <f t="shared" si="3"/>
        <v>287805</v>
      </c>
      <c r="T27" s="42">
        <f>IFERROR(VLOOKUP(B27,[1]月分析表!$A$9:$AT$120,44,0),0)+IFERROR(VLOOKUP(B27,[1]月分析表!$A$9:$AU$120,46,0),0)</f>
        <v>47</v>
      </c>
      <c r="U27" s="43">
        <f t="shared" si="5"/>
        <v>312318</v>
      </c>
    </row>
    <row r="28" spans="1:21">
      <c r="A28" s="44"/>
      <c r="B28" s="39" t="s">
        <v>49</v>
      </c>
      <c r="C28" s="40">
        <v>21836</v>
      </c>
      <c r="D28" s="40">
        <v>142382</v>
      </c>
      <c r="E28" s="40">
        <v>5798</v>
      </c>
      <c r="F28" s="40">
        <v>1</v>
      </c>
      <c r="G28" s="40">
        <v>7719</v>
      </c>
      <c r="H28" s="40">
        <v>0</v>
      </c>
      <c r="I28" s="41">
        <f t="shared" si="1"/>
        <v>7720</v>
      </c>
      <c r="J28" s="40">
        <v>55602</v>
      </c>
      <c r="K28" s="40">
        <v>9784</v>
      </c>
      <c r="L28" s="40">
        <v>2307</v>
      </c>
      <c r="M28" s="40">
        <v>1063</v>
      </c>
      <c r="N28" s="40">
        <v>7191</v>
      </c>
      <c r="O28" s="40">
        <v>0</v>
      </c>
      <c r="P28" s="40">
        <v>134</v>
      </c>
      <c r="Q28" s="40">
        <v>100</v>
      </c>
      <c r="R28" s="42">
        <f t="shared" si="2"/>
        <v>76181</v>
      </c>
      <c r="S28" s="41">
        <f t="shared" si="3"/>
        <v>232081</v>
      </c>
      <c r="T28" s="42">
        <f>IFERROR(VLOOKUP(B28,[1]月分析表!$A$9:$AT$120,44,0),0)+IFERROR(VLOOKUP(B28,[1]月分析表!$A$9:$AU$120,46,0),0)</f>
        <v>2962</v>
      </c>
      <c r="U28" s="43">
        <f t="shared" si="5"/>
        <v>256879</v>
      </c>
    </row>
    <row r="29" spans="1:21">
      <c r="A29" s="44"/>
      <c r="B29" s="39" t="s">
        <v>50</v>
      </c>
      <c r="C29" s="40">
        <v>25939</v>
      </c>
      <c r="D29" s="40">
        <v>110789</v>
      </c>
      <c r="E29" s="40">
        <v>5444</v>
      </c>
      <c r="F29" s="40">
        <v>0</v>
      </c>
      <c r="G29" s="40">
        <v>11133</v>
      </c>
      <c r="H29" s="40">
        <v>0</v>
      </c>
      <c r="I29" s="41">
        <f t="shared" si="1"/>
        <v>11133</v>
      </c>
      <c r="J29" s="40">
        <v>59798</v>
      </c>
      <c r="K29" s="40">
        <v>8871</v>
      </c>
      <c r="L29" s="40">
        <v>2482</v>
      </c>
      <c r="M29" s="40">
        <v>1181</v>
      </c>
      <c r="N29" s="40">
        <v>5596</v>
      </c>
      <c r="O29" s="40">
        <v>0</v>
      </c>
      <c r="P29" s="40">
        <v>81</v>
      </c>
      <c r="Q29" s="40">
        <v>47</v>
      </c>
      <c r="R29" s="42">
        <f t="shared" si="2"/>
        <v>78056</v>
      </c>
      <c r="S29" s="41">
        <f t="shared" si="3"/>
        <v>205422</v>
      </c>
      <c r="T29" s="42">
        <f>IFERROR(VLOOKUP(B29,[1]月分析表!$A$9:$AT$120,44,0),0)+IFERROR(VLOOKUP(B29,[1]月分析表!$A$9:$AU$120,46,0),0)</f>
        <v>693</v>
      </c>
      <c r="U29" s="43">
        <f t="shared" si="5"/>
        <v>232054</v>
      </c>
    </row>
    <row r="30" spans="1:21">
      <c r="A30" s="44"/>
      <c r="B30" s="39" t="s">
        <v>51</v>
      </c>
      <c r="C30" s="40">
        <v>23993</v>
      </c>
      <c r="D30" s="40">
        <v>61859</v>
      </c>
      <c r="E30" s="40">
        <v>2528</v>
      </c>
      <c r="F30" s="40">
        <v>1</v>
      </c>
      <c r="G30" s="40">
        <v>4026</v>
      </c>
      <c r="H30" s="40">
        <v>0</v>
      </c>
      <c r="I30" s="41">
        <f t="shared" si="1"/>
        <v>4027</v>
      </c>
      <c r="J30" s="40">
        <v>29074</v>
      </c>
      <c r="K30" s="40">
        <v>4530</v>
      </c>
      <c r="L30" s="40">
        <v>721</v>
      </c>
      <c r="M30" s="40">
        <v>789</v>
      </c>
      <c r="N30" s="40">
        <v>3125</v>
      </c>
      <c r="O30" s="40">
        <v>0</v>
      </c>
      <c r="P30" s="40">
        <v>15</v>
      </c>
      <c r="Q30" s="40">
        <v>36</v>
      </c>
      <c r="R30" s="42">
        <f t="shared" si="2"/>
        <v>38290</v>
      </c>
      <c r="S30" s="41">
        <f t="shared" si="3"/>
        <v>106704</v>
      </c>
      <c r="T30" s="42">
        <f>IFERROR(VLOOKUP(B30,[1]月分析表!$A$9:$AT$120,44,0),0)+IFERROR(VLOOKUP(B30,[1]月分析表!$A$9:$AU$120,46,0),0)</f>
        <v>323</v>
      </c>
      <c r="U30" s="43">
        <f t="shared" si="5"/>
        <v>131020</v>
      </c>
    </row>
    <row r="31" spans="1:21">
      <c r="A31" s="44"/>
      <c r="B31" s="52" t="s">
        <v>52</v>
      </c>
      <c r="C31" s="40">
        <v>6234</v>
      </c>
      <c r="D31" s="40">
        <v>29965</v>
      </c>
      <c r="E31" s="40">
        <v>1090</v>
      </c>
      <c r="F31" s="40">
        <v>0</v>
      </c>
      <c r="G31" s="40">
        <v>2790</v>
      </c>
      <c r="H31" s="40">
        <v>0</v>
      </c>
      <c r="I31" s="41">
        <f t="shared" si="1"/>
        <v>2790</v>
      </c>
      <c r="J31" s="40">
        <v>8363</v>
      </c>
      <c r="K31" s="40">
        <v>1936</v>
      </c>
      <c r="L31" s="40">
        <v>292</v>
      </c>
      <c r="M31" s="40">
        <v>343</v>
      </c>
      <c r="N31" s="40">
        <v>1513</v>
      </c>
      <c r="O31" s="40">
        <v>0</v>
      </c>
      <c r="P31" s="40">
        <v>15</v>
      </c>
      <c r="Q31" s="40">
        <v>4</v>
      </c>
      <c r="R31" s="42">
        <f t="shared" si="2"/>
        <v>12466</v>
      </c>
      <c r="S31" s="41">
        <f t="shared" si="3"/>
        <v>46311</v>
      </c>
      <c r="T31" s="42">
        <f>IFERROR(VLOOKUP(B31,[1]月分析表!$A$9:$AT$120,44,0),0)+IFERROR(VLOOKUP(B31,[1]月分析表!$A$9:$AU$120,46,0),0)</f>
        <v>1166</v>
      </c>
      <c r="U31" s="43">
        <f t="shared" si="5"/>
        <v>53711</v>
      </c>
    </row>
    <row r="32" spans="1:21">
      <c r="A32" s="44"/>
      <c r="B32" s="39" t="s">
        <v>53</v>
      </c>
      <c r="C32" s="40">
        <v>2846</v>
      </c>
      <c r="D32" s="40">
        <v>5506</v>
      </c>
      <c r="E32" s="40">
        <v>250</v>
      </c>
      <c r="F32" s="40">
        <v>0</v>
      </c>
      <c r="G32" s="40">
        <v>93</v>
      </c>
      <c r="H32" s="40">
        <v>0</v>
      </c>
      <c r="I32" s="41">
        <f t="shared" si="1"/>
        <v>93</v>
      </c>
      <c r="J32" s="40">
        <v>3155</v>
      </c>
      <c r="K32" s="40">
        <v>426</v>
      </c>
      <c r="L32" s="40">
        <v>42</v>
      </c>
      <c r="M32" s="40">
        <v>50</v>
      </c>
      <c r="N32" s="40">
        <v>278</v>
      </c>
      <c r="O32" s="40">
        <v>0</v>
      </c>
      <c r="P32" s="40">
        <v>0</v>
      </c>
      <c r="Q32" s="40">
        <v>2</v>
      </c>
      <c r="R32" s="42">
        <f t="shared" si="2"/>
        <v>3953</v>
      </c>
      <c r="S32" s="41">
        <f t="shared" si="3"/>
        <v>9802</v>
      </c>
      <c r="T32" s="42">
        <f>IFERROR(VLOOKUP(B32,[1]月分析表!$A$9:$AT$120,44,0),0)+IFERROR(VLOOKUP(B32,[1]月分析表!$A$9:$AU$120,46,0),0)</f>
        <v>0</v>
      </c>
      <c r="U32" s="43">
        <f t="shared" si="5"/>
        <v>12648</v>
      </c>
    </row>
    <row r="33" spans="1:21">
      <c r="A33" s="44"/>
      <c r="B33" s="39" t="s">
        <v>54</v>
      </c>
      <c r="C33" s="40">
        <v>2854</v>
      </c>
      <c r="D33" s="40">
        <v>23698</v>
      </c>
      <c r="E33" s="40">
        <v>1292</v>
      </c>
      <c r="F33" s="40">
        <v>0</v>
      </c>
      <c r="G33" s="40">
        <v>2146</v>
      </c>
      <c r="H33" s="40">
        <v>0</v>
      </c>
      <c r="I33" s="41">
        <f t="shared" si="1"/>
        <v>2146</v>
      </c>
      <c r="J33" s="40">
        <v>10578</v>
      </c>
      <c r="K33" s="40">
        <v>1916</v>
      </c>
      <c r="L33" s="40">
        <v>254</v>
      </c>
      <c r="M33" s="40">
        <v>235</v>
      </c>
      <c r="N33" s="40">
        <v>1197</v>
      </c>
      <c r="O33" s="40">
        <v>0</v>
      </c>
      <c r="P33" s="40">
        <v>22</v>
      </c>
      <c r="Q33" s="40">
        <v>10</v>
      </c>
      <c r="R33" s="42">
        <f t="shared" si="2"/>
        <v>14212</v>
      </c>
      <c r="S33" s="41">
        <f t="shared" si="3"/>
        <v>41348</v>
      </c>
      <c r="T33" s="42">
        <f>IFERROR(VLOOKUP(B33,[1]月分析表!$A$9:$AT$120,44,0),0)+IFERROR(VLOOKUP(B33,[1]月分析表!$A$9:$AU$120,46,0),0)</f>
        <v>0</v>
      </c>
      <c r="U33" s="43">
        <f t="shared" si="5"/>
        <v>44202</v>
      </c>
    </row>
    <row r="34" spans="1:21">
      <c r="A34" s="44"/>
      <c r="B34" s="53" t="s">
        <v>55</v>
      </c>
      <c r="C34" s="40">
        <v>4303</v>
      </c>
      <c r="D34" s="40">
        <v>25338</v>
      </c>
      <c r="E34" s="40">
        <v>1478</v>
      </c>
      <c r="F34" s="40">
        <v>3</v>
      </c>
      <c r="G34" s="40">
        <v>2496</v>
      </c>
      <c r="H34" s="40">
        <v>0</v>
      </c>
      <c r="I34" s="41">
        <f t="shared" si="1"/>
        <v>2499</v>
      </c>
      <c r="J34" s="40">
        <v>26654</v>
      </c>
      <c r="K34" s="40">
        <v>2510</v>
      </c>
      <c r="L34" s="40">
        <v>368</v>
      </c>
      <c r="M34" s="40">
        <v>293</v>
      </c>
      <c r="N34" s="40">
        <v>1280</v>
      </c>
      <c r="O34" s="40">
        <v>0</v>
      </c>
      <c r="P34" s="40">
        <v>7</v>
      </c>
      <c r="Q34" s="40">
        <v>12</v>
      </c>
      <c r="R34" s="42">
        <f t="shared" si="2"/>
        <v>31124</v>
      </c>
      <c r="S34" s="41">
        <f t="shared" si="3"/>
        <v>60439</v>
      </c>
      <c r="T34" s="42">
        <f>IFERROR(VLOOKUP(B34,[1]月分析表!$A$9:$AT$120,44,0),0)+IFERROR(VLOOKUP(B34,[1]月分析表!$A$9:$AU$120,46,0),0)</f>
        <v>0</v>
      </c>
      <c r="U34" s="43">
        <f t="shared" si="5"/>
        <v>64742</v>
      </c>
    </row>
    <row r="35" spans="1:21">
      <c r="A35" s="44"/>
      <c r="B35" s="46" t="s">
        <v>56</v>
      </c>
      <c r="C35" s="40">
        <v>305</v>
      </c>
      <c r="D35" s="40">
        <v>503</v>
      </c>
      <c r="E35" s="40">
        <v>14</v>
      </c>
      <c r="F35" s="40">
        <v>0</v>
      </c>
      <c r="G35" s="40">
        <v>0</v>
      </c>
      <c r="H35" s="40">
        <v>0</v>
      </c>
      <c r="I35" s="41">
        <f t="shared" si="1"/>
        <v>0</v>
      </c>
      <c r="J35" s="40">
        <v>240</v>
      </c>
      <c r="K35" s="40">
        <v>40</v>
      </c>
      <c r="L35" s="40">
        <v>0</v>
      </c>
      <c r="M35" s="40">
        <v>3</v>
      </c>
      <c r="N35" s="40">
        <v>25</v>
      </c>
      <c r="O35" s="40">
        <v>0</v>
      </c>
      <c r="P35" s="40">
        <v>0</v>
      </c>
      <c r="Q35" s="40">
        <v>0</v>
      </c>
      <c r="R35" s="42">
        <f t="shared" si="2"/>
        <v>308</v>
      </c>
      <c r="S35" s="41">
        <f t="shared" si="3"/>
        <v>825</v>
      </c>
      <c r="T35" s="42">
        <f>IFERROR(VLOOKUP(B35,[1]月分析表!$A$9:$AT$120,44,0),0)+IFERROR(VLOOKUP(B35,[1]月分析表!$A$9:$AU$120,46,0),0)</f>
        <v>0</v>
      </c>
      <c r="U35" s="43">
        <f t="shared" si="5"/>
        <v>1130</v>
      </c>
    </row>
    <row r="36" spans="1:21">
      <c r="A36" s="44"/>
      <c r="B36" s="48" t="s">
        <v>57</v>
      </c>
      <c r="C36" s="40">
        <v>273</v>
      </c>
      <c r="D36" s="40">
        <v>459</v>
      </c>
      <c r="E36" s="40">
        <v>14</v>
      </c>
      <c r="F36" s="40">
        <v>0</v>
      </c>
      <c r="G36" s="40">
        <v>2</v>
      </c>
      <c r="H36" s="40">
        <v>0</v>
      </c>
      <c r="I36" s="41">
        <f t="shared" si="1"/>
        <v>2</v>
      </c>
      <c r="J36" s="40">
        <v>254</v>
      </c>
      <c r="K36" s="40">
        <v>46</v>
      </c>
      <c r="L36" s="40">
        <v>0</v>
      </c>
      <c r="M36" s="40">
        <v>2</v>
      </c>
      <c r="N36" s="40">
        <v>23</v>
      </c>
      <c r="O36" s="40">
        <v>0</v>
      </c>
      <c r="P36" s="40">
        <v>0</v>
      </c>
      <c r="Q36" s="40">
        <v>0</v>
      </c>
      <c r="R36" s="42">
        <f t="shared" si="2"/>
        <v>325</v>
      </c>
      <c r="S36" s="41">
        <f t="shared" si="3"/>
        <v>800</v>
      </c>
      <c r="T36" s="42">
        <f>IFERROR(VLOOKUP(B36,[1]月分析表!$A$9:$AT$120,44,0),0)+IFERROR(VLOOKUP(B36,[1]月分析表!$A$9:$AU$120,46,0),0)</f>
        <v>0</v>
      </c>
      <c r="U36" s="43">
        <f t="shared" si="5"/>
        <v>1073</v>
      </c>
    </row>
    <row r="37" spans="1:21">
      <c r="A37" s="44"/>
      <c r="B37" s="48" t="s">
        <v>58</v>
      </c>
      <c r="C37" s="40">
        <v>4156</v>
      </c>
      <c r="D37" s="40">
        <v>22909</v>
      </c>
      <c r="E37" s="40">
        <v>893</v>
      </c>
      <c r="F37" s="40">
        <v>45</v>
      </c>
      <c r="G37" s="40">
        <v>1655</v>
      </c>
      <c r="H37" s="40">
        <v>0</v>
      </c>
      <c r="I37" s="41">
        <f t="shared" si="1"/>
        <v>1700</v>
      </c>
      <c r="J37" s="40">
        <v>5204</v>
      </c>
      <c r="K37" s="40">
        <v>996</v>
      </c>
      <c r="L37" s="40">
        <v>107</v>
      </c>
      <c r="M37" s="40">
        <v>194</v>
      </c>
      <c r="N37" s="40">
        <v>1157</v>
      </c>
      <c r="O37" s="40">
        <v>0</v>
      </c>
      <c r="P37" s="40">
        <v>2</v>
      </c>
      <c r="Q37" s="40">
        <v>2</v>
      </c>
      <c r="R37" s="42">
        <f t="shared" si="2"/>
        <v>7662</v>
      </c>
      <c r="S37" s="41">
        <f t="shared" si="3"/>
        <v>33164</v>
      </c>
      <c r="T37" s="42">
        <f>IFERROR(VLOOKUP(B37,[1]月分析表!$A$9:$AT$120,44,0),0)+IFERROR(VLOOKUP(B37,[1]月分析表!$A$9:$AU$120,46,0),0)</f>
        <v>0</v>
      </c>
      <c r="U37" s="43">
        <f t="shared" si="5"/>
        <v>37320</v>
      </c>
    </row>
    <row r="38" spans="1:21">
      <c r="A38" s="44"/>
      <c r="B38" s="39" t="s">
        <v>59</v>
      </c>
      <c r="C38" s="40">
        <v>6918</v>
      </c>
      <c r="D38" s="40">
        <v>90714</v>
      </c>
      <c r="E38" s="40">
        <v>2244</v>
      </c>
      <c r="F38" s="40">
        <v>59</v>
      </c>
      <c r="G38" s="40">
        <v>3923</v>
      </c>
      <c r="H38" s="40">
        <v>0</v>
      </c>
      <c r="I38" s="41">
        <f t="shared" si="1"/>
        <v>3982</v>
      </c>
      <c r="J38" s="40">
        <v>19200</v>
      </c>
      <c r="K38" s="40">
        <v>3141</v>
      </c>
      <c r="L38" s="40">
        <v>1199</v>
      </c>
      <c r="M38" s="40">
        <v>1304</v>
      </c>
      <c r="N38" s="40">
        <v>4582</v>
      </c>
      <c r="O38" s="40">
        <v>0</v>
      </c>
      <c r="P38" s="40">
        <v>44</v>
      </c>
      <c r="Q38" s="40">
        <v>20</v>
      </c>
      <c r="R38" s="42">
        <f t="shared" si="2"/>
        <v>29490</v>
      </c>
      <c r="S38" s="41">
        <f t="shared" si="3"/>
        <v>126430</v>
      </c>
      <c r="T38" s="42">
        <f>IFERROR(VLOOKUP(B38,[1]月分析表!$A$9:$AT$120,44,0),0)+IFERROR(VLOOKUP(B38,[1]月分析表!$A$9:$AU$120,46,0),0)</f>
        <v>393</v>
      </c>
      <c r="U38" s="43">
        <f t="shared" si="5"/>
        <v>133741</v>
      </c>
    </row>
    <row r="39" spans="1:21">
      <c r="A39" s="47"/>
      <c r="B39" s="48" t="s">
        <v>60</v>
      </c>
      <c r="C39" s="40">
        <v>670</v>
      </c>
      <c r="D39" s="40">
        <v>10784</v>
      </c>
      <c r="E39" s="40">
        <v>155</v>
      </c>
      <c r="F39" s="40">
        <v>1</v>
      </c>
      <c r="G39" s="40">
        <v>294</v>
      </c>
      <c r="H39" s="40">
        <v>0</v>
      </c>
      <c r="I39" s="41">
        <f t="shared" si="1"/>
        <v>295</v>
      </c>
      <c r="J39" s="40">
        <v>1007</v>
      </c>
      <c r="K39" s="40">
        <v>224</v>
      </c>
      <c r="L39" s="40">
        <v>66</v>
      </c>
      <c r="M39" s="40">
        <v>172</v>
      </c>
      <c r="N39" s="40">
        <v>545</v>
      </c>
      <c r="O39" s="40">
        <v>0</v>
      </c>
      <c r="P39" s="40">
        <v>2</v>
      </c>
      <c r="Q39" s="40">
        <v>0</v>
      </c>
      <c r="R39" s="42">
        <f t="shared" si="2"/>
        <v>2016</v>
      </c>
      <c r="S39" s="41">
        <f t="shared" si="3"/>
        <v>13250</v>
      </c>
      <c r="T39" s="42">
        <f>IFERROR(VLOOKUP(B39,[1]月分析表!$A$9:$AT$120,44,0),0)+IFERROR(VLOOKUP(B39,[1]月分析表!$A$9:$AU$120,46,0),0)</f>
        <v>0</v>
      </c>
      <c r="U39" s="43">
        <f t="shared" si="5"/>
        <v>13920</v>
      </c>
    </row>
    <row r="40" spans="1:21">
      <c r="A40" s="38" t="s">
        <v>61</v>
      </c>
      <c r="B40" s="45" t="s">
        <v>62</v>
      </c>
      <c r="C40" s="40">
        <v>40295</v>
      </c>
      <c r="D40" s="40">
        <v>223991</v>
      </c>
      <c r="E40" s="40">
        <v>9047</v>
      </c>
      <c r="F40" s="40">
        <v>2</v>
      </c>
      <c r="G40" s="40">
        <v>13369</v>
      </c>
      <c r="H40" s="40">
        <v>0</v>
      </c>
      <c r="I40" s="41">
        <f t="shared" si="1"/>
        <v>13371</v>
      </c>
      <c r="J40" s="40">
        <v>59789</v>
      </c>
      <c r="K40" s="40">
        <v>11256</v>
      </c>
      <c r="L40" s="40">
        <v>1685</v>
      </c>
      <c r="M40" s="40">
        <v>1243</v>
      </c>
      <c r="N40" s="40">
        <v>11314</v>
      </c>
      <c r="O40" s="40">
        <v>0</v>
      </c>
      <c r="P40" s="40">
        <v>74</v>
      </c>
      <c r="Q40" s="40">
        <v>53</v>
      </c>
      <c r="R40" s="42">
        <f t="shared" si="2"/>
        <v>85414</v>
      </c>
      <c r="S40" s="41">
        <f t="shared" si="3"/>
        <v>331823</v>
      </c>
      <c r="T40" s="42">
        <f>IFERROR(VLOOKUP(B40,[1]月分析表!$A$9:$AT$120,44,0),0)+IFERROR(VLOOKUP(B40,[1]月分析表!$A$9:$AU$120,46,0),0)</f>
        <v>4239</v>
      </c>
      <c r="U40" s="43">
        <f t="shared" si="5"/>
        <v>376357</v>
      </c>
    </row>
    <row r="41" spans="1:21">
      <c r="A41" s="44"/>
      <c r="B41" s="52" t="s">
        <v>63</v>
      </c>
      <c r="C41" s="40">
        <v>24636</v>
      </c>
      <c r="D41" s="40">
        <v>108240</v>
      </c>
      <c r="E41" s="40">
        <v>4679</v>
      </c>
      <c r="F41" s="40">
        <v>0</v>
      </c>
      <c r="G41" s="40">
        <v>6410</v>
      </c>
      <c r="H41" s="40">
        <v>0</v>
      </c>
      <c r="I41" s="41">
        <f t="shared" si="1"/>
        <v>6410</v>
      </c>
      <c r="J41" s="40">
        <v>45335</v>
      </c>
      <c r="K41" s="40">
        <v>7333</v>
      </c>
      <c r="L41" s="40">
        <v>2626</v>
      </c>
      <c r="M41" s="40">
        <v>1637</v>
      </c>
      <c r="N41" s="40">
        <v>5467</v>
      </c>
      <c r="O41" s="40">
        <v>0</v>
      </c>
      <c r="P41" s="40">
        <v>34</v>
      </c>
      <c r="Q41" s="40">
        <v>36</v>
      </c>
      <c r="R41" s="42">
        <f t="shared" si="2"/>
        <v>62468</v>
      </c>
      <c r="S41" s="41">
        <f t="shared" si="3"/>
        <v>181797</v>
      </c>
      <c r="T41" s="42">
        <f>IFERROR(VLOOKUP(B41,[1]月分析表!$A$9:$AT$120,44,0),0)+IFERROR(VLOOKUP(B41,[1]月分析表!$A$9:$AU$120,46,0),0)</f>
        <v>6009</v>
      </c>
      <c r="U41" s="43">
        <f t="shared" si="5"/>
        <v>212442</v>
      </c>
    </row>
    <row r="42" spans="1:21">
      <c r="A42" s="44"/>
      <c r="B42" s="48" t="s">
        <v>64</v>
      </c>
      <c r="C42" s="40">
        <v>14301</v>
      </c>
      <c r="D42" s="40">
        <v>91418</v>
      </c>
      <c r="E42" s="40">
        <v>3954</v>
      </c>
      <c r="F42" s="40">
        <v>3</v>
      </c>
      <c r="G42" s="40">
        <v>2924</v>
      </c>
      <c r="H42" s="40">
        <v>0</v>
      </c>
      <c r="I42" s="41">
        <f t="shared" si="1"/>
        <v>2927</v>
      </c>
      <c r="J42" s="40">
        <v>43058</v>
      </c>
      <c r="K42" s="40">
        <v>6291</v>
      </c>
      <c r="L42" s="40">
        <v>1481</v>
      </c>
      <c r="M42" s="40">
        <v>904</v>
      </c>
      <c r="N42" s="40">
        <v>4617</v>
      </c>
      <c r="O42" s="40">
        <v>0</v>
      </c>
      <c r="P42" s="40">
        <v>95</v>
      </c>
      <c r="Q42" s="40">
        <v>40</v>
      </c>
      <c r="R42" s="42">
        <f t="shared" si="2"/>
        <v>56486</v>
      </c>
      <c r="S42" s="41">
        <f t="shared" si="3"/>
        <v>154785</v>
      </c>
      <c r="T42" s="42">
        <f>IFERROR(VLOOKUP(B42,[1]月分析表!$A$9:$AT$120,44,0),0)+IFERROR(VLOOKUP(B42,[1]月分析表!$A$9:$AU$120,46,0),0)</f>
        <v>2790</v>
      </c>
      <c r="U42" s="43">
        <f t="shared" si="5"/>
        <v>171876</v>
      </c>
    </row>
    <row r="43" spans="1:21">
      <c r="A43" s="44"/>
      <c r="B43" s="45" t="s">
        <v>65</v>
      </c>
      <c r="C43" s="40">
        <v>15147</v>
      </c>
      <c r="D43" s="40">
        <v>75221</v>
      </c>
      <c r="E43" s="40">
        <v>3631</v>
      </c>
      <c r="F43" s="40">
        <v>104</v>
      </c>
      <c r="G43" s="40">
        <v>8991</v>
      </c>
      <c r="H43" s="40">
        <v>0</v>
      </c>
      <c r="I43" s="41">
        <f t="shared" si="1"/>
        <v>9095</v>
      </c>
      <c r="J43" s="40">
        <v>38425</v>
      </c>
      <c r="K43" s="40">
        <v>6351</v>
      </c>
      <c r="L43" s="40">
        <v>2122</v>
      </c>
      <c r="M43" s="40">
        <v>1253</v>
      </c>
      <c r="N43" s="40">
        <v>3799</v>
      </c>
      <c r="O43" s="40">
        <v>0</v>
      </c>
      <c r="P43" s="40">
        <v>41</v>
      </c>
      <c r="Q43" s="40">
        <v>42</v>
      </c>
      <c r="R43" s="42">
        <f t="shared" si="2"/>
        <v>52033</v>
      </c>
      <c r="S43" s="41">
        <f t="shared" si="3"/>
        <v>139980</v>
      </c>
      <c r="T43" s="42">
        <f>IFERROR(VLOOKUP(B43,[1]月分析表!$A$9:$AT$120,44,0),0)+IFERROR(VLOOKUP(B43,[1]月分析表!$A$9:$AU$120,46,0),0)</f>
        <v>2845</v>
      </c>
      <c r="U43" s="43">
        <f t="shared" si="5"/>
        <v>157972</v>
      </c>
    </row>
    <row r="44" spans="1:21">
      <c r="A44" s="44"/>
      <c r="B44" s="45" t="s">
        <v>66</v>
      </c>
      <c r="C44" s="40">
        <v>7014</v>
      </c>
      <c r="D44" s="40">
        <v>57956</v>
      </c>
      <c r="E44" s="40">
        <v>2421</v>
      </c>
      <c r="F44" s="40">
        <v>0</v>
      </c>
      <c r="G44" s="40">
        <v>3526</v>
      </c>
      <c r="H44" s="40">
        <v>0</v>
      </c>
      <c r="I44" s="41">
        <f t="shared" si="1"/>
        <v>3526</v>
      </c>
      <c r="J44" s="40">
        <v>20687</v>
      </c>
      <c r="K44" s="40">
        <v>3313</v>
      </c>
      <c r="L44" s="40">
        <v>1263</v>
      </c>
      <c r="M44" s="40">
        <v>802</v>
      </c>
      <c r="N44" s="40">
        <v>2927</v>
      </c>
      <c r="O44" s="40">
        <v>0</v>
      </c>
      <c r="P44" s="40">
        <v>27</v>
      </c>
      <c r="Q44" s="40">
        <v>22</v>
      </c>
      <c r="R44" s="42">
        <f t="shared" si="2"/>
        <v>29041</v>
      </c>
      <c r="S44" s="41">
        <f t="shared" si="3"/>
        <v>92944</v>
      </c>
      <c r="T44" s="42">
        <f>IFERROR(VLOOKUP(B44,[1]月分析表!$A$9:$AT$120,44,0),0)+IFERROR(VLOOKUP(B44,[1]月分析表!$A$9:$AU$120,46,0),0)</f>
        <v>30</v>
      </c>
      <c r="U44" s="43">
        <f t="shared" si="5"/>
        <v>99988</v>
      </c>
    </row>
    <row r="45" spans="1:21">
      <c r="A45" s="44"/>
      <c r="B45" s="45" t="s">
        <v>67</v>
      </c>
      <c r="C45" s="40">
        <v>6316</v>
      </c>
      <c r="D45" s="40">
        <v>55625</v>
      </c>
      <c r="E45" s="40">
        <v>2330</v>
      </c>
      <c r="F45" s="40">
        <v>0</v>
      </c>
      <c r="G45" s="40">
        <v>3731</v>
      </c>
      <c r="H45" s="40">
        <v>0</v>
      </c>
      <c r="I45" s="41">
        <f t="shared" si="1"/>
        <v>3731</v>
      </c>
      <c r="J45" s="40">
        <v>20283</v>
      </c>
      <c r="K45" s="40">
        <v>3093</v>
      </c>
      <c r="L45" s="40">
        <v>1138</v>
      </c>
      <c r="M45" s="40">
        <v>631</v>
      </c>
      <c r="N45" s="40">
        <v>2810</v>
      </c>
      <c r="O45" s="40">
        <v>0</v>
      </c>
      <c r="P45" s="40">
        <v>28</v>
      </c>
      <c r="Q45" s="40">
        <v>27</v>
      </c>
      <c r="R45" s="42">
        <f t="shared" si="2"/>
        <v>28010</v>
      </c>
      <c r="S45" s="41">
        <f t="shared" si="3"/>
        <v>89696</v>
      </c>
      <c r="T45" s="42">
        <f>IFERROR(VLOOKUP(B45,[1]月分析表!$A$9:$AT$120,44,0),0)+IFERROR(VLOOKUP(B45,[1]月分析表!$A$9:$AU$120,46,0),0)</f>
        <v>768</v>
      </c>
      <c r="U45" s="43">
        <f t="shared" si="5"/>
        <v>96780</v>
      </c>
    </row>
    <row r="46" spans="1:21">
      <c r="A46" s="44"/>
      <c r="B46" s="45" t="s">
        <v>68</v>
      </c>
      <c r="C46" s="40">
        <v>9856</v>
      </c>
      <c r="D46" s="40">
        <v>56208</v>
      </c>
      <c r="E46" s="40">
        <v>1893</v>
      </c>
      <c r="F46" s="40">
        <v>0</v>
      </c>
      <c r="G46" s="40">
        <v>3983</v>
      </c>
      <c r="H46" s="40">
        <v>0</v>
      </c>
      <c r="I46" s="41">
        <f t="shared" si="1"/>
        <v>3983</v>
      </c>
      <c r="J46" s="40">
        <v>10772</v>
      </c>
      <c r="K46" s="40">
        <v>2428</v>
      </c>
      <c r="L46" s="40">
        <v>360</v>
      </c>
      <c r="M46" s="40">
        <v>319</v>
      </c>
      <c r="N46" s="40">
        <v>2839</v>
      </c>
      <c r="O46" s="40">
        <v>0</v>
      </c>
      <c r="P46" s="40">
        <v>11</v>
      </c>
      <c r="Q46" s="40">
        <v>4</v>
      </c>
      <c r="R46" s="42">
        <f t="shared" si="2"/>
        <v>16733</v>
      </c>
      <c r="S46" s="41">
        <f t="shared" si="3"/>
        <v>78817</v>
      </c>
      <c r="T46" s="42">
        <f>IFERROR(VLOOKUP(B46,[1]月分析表!$A$9:$AT$120,44,0),0)+IFERROR(VLOOKUP(B46,[1]月分析表!$A$9:$AU$120,46,0),0)</f>
        <v>1459</v>
      </c>
      <c r="U46" s="43">
        <f t="shared" si="5"/>
        <v>90132</v>
      </c>
    </row>
    <row r="47" spans="1:21">
      <c r="A47" s="44"/>
      <c r="B47" s="45" t="s">
        <v>69</v>
      </c>
      <c r="C47" s="40">
        <v>6968</v>
      </c>
      <c r="D47" s="40">
        <v>33204</v>
      </c>
      <c r="E47" s="40">
        <v>974</v>
      </c>
      <c r="F47" s="40">
        <v>0</v>
      </c>
      <c r="G47" s="40">
        <v>1249</v>
      </c>
      <c r="H47" s="40">
        <v>0</v>
      </c>
      <c r="I47" s="41">
        <f t="shared" si="1"/>
        <v>1249</v>
      </c>
      <c r="J47" s="40">
        <v>6516</v>
      </c>
      <c r="K47" s="40">
        <v>1417</v>
      </c>
      <c r="L47" s="40">
        <v>237</v>
      </c>
      <c r="M47" s="40">
        <v>230</v>
      </c>
      <c r="N47" s="40">
        <v>1677</v>
      </c>
      <c r="O47" s="40">
        <v>0</v>
      </c>
      <c r="P47" s="40">
        <v>25</v>
      </c>
      <c r="Q47" s="40">
        <v>22</v>
      </c>
      <c r="R47" s="42">
        <f t="shared" si="2"/>
        <v>10124</v>
      </c>
      <c r="S47" s="41">
        <f t="shared" si="3"/>
        <v>45551</v>
      </c>
      <c r="T47" s="42">
        <f>IFERROR(VLOOKUP(B47,[1]月分析表!$A$9:$AT$120,44,0),0)+IFERROR(VLOOKUP(B47,[1]月分析表!$A$9:$AU$120,46,0),0)</f>
        <v>0</v>
      </c>
      <c r="U47" s="43">
        <f t="shared" si="5"/>
        <v>52519</v>
      </c>
    </row>
    <row r="48" spans="1:21">
      <c r="A48" s="44"/>
      <c r="B48" s="46" t="s">
        <v>70</v>
      </c>
      <c r="C48" s="40">
        <v>22585</v>
      </c>
      <c r="D48" s="40">
        <v>74391</v>
      </c>
      <c r="E48" s="40">
        <v>2704</v>
      </c>
      <c r="F48" s="40">
        <v>13</v>
      </c>
      <c r="G48" s="40">
        <v>4220</v>
      </c>
      <c r="H48" s="40">
        <v>0</v>
      </c>
      <c r="I48" s="41">
        <f t="shared" si="1"/>
        <v>4233</v>
      </c>
      <c r="J48" s="40">
        <v>16332</v>
      </c>
      <c r="K48" s="40">
        <v>3402</v>
      </c>
      <c r="L48" s="40">
        <v>277</v>
      </c>
      <c r="M48" s="40">
        <v>328</v>
      </c>
      <c r="N48" s="40">
        <v>3758</v>
      </c>
      <c r="O48" s="40">
        <v>0</v>
      </c>
      <c r="P48" s="40">
        <v>10</v>
      </c>
      <c r="Q48" s="40">
        <v>41</v>
      </c>
      <c r="R48" s="42">
        <f t="shared" si="2"/>
        <v>24148</v>
      </c>
      <c r="S48" s="41">
        <f t="shared" si="3"/>
        <v>105476</v>
      </c>
      <c r="T48" s="42">
        <f>IFERROR(VLOOKUP(B48,[1]月分析表!$A$9:$AT$120,44,0),0)+IFERROR(VLOOKUP(B48,[1]月分析表!$A$9:$AU$120,46,0),0)</f>
        <v>142</v>
      </c>
      <c r="U48" s="43">
        <f t="shared" si="5"/>
        <v>128203</v>
      </c>
    </row>
    <row r="49" spans="1:21">
      <c r="A49" s="44"/>
      <c r="B49" s="45" t="s">
        <v>71</v>
      </c>
      <c r="C49" s="40">
        <v>7191</v>
      </c>
      <c r="D49" s="40">
        <v>22851</v>
      </c>
      <c r="E49" s="40">
        <v>1373</v>
      </c>
      <c r="F49" s="40">
        <v>1</v>
      </c>
      <c r="G49" s="40">
        <v>2229</v>
      </c>
      <c r="H49" s="40">
        <v>0</v>
      </c>
      <c r="I49" s="41">
        <f t="shared" si="1"/>
        <v>2230</v>
      </c>
      <c r="J49" s="40">
        <v>16070</v>
      </c>
      <c r="K49" s="40">
        <v>1934</v>
      </c>
      <c r="L49" s="40">
        <v>237</v>
      </c>
      <c r="M49" s="40">
        <v>275</v>
      </c>
      <c r="N49" s="40">
        <v>1154</v>
      </c>
      <c r="O49" s="40">
        <v>0</v>
      </c>
      <c r="P49" s="40">
        <v>11</v>
      </c>
      <c r="Q49" s="40">
        <v>4</v>
      </c>
      <c r="R49" s="42">
        <f t="shared" si="2"/>
        <v>19685</v>
      </c>
      <c r="S49" s="41">
        <f t="shared" si="3"/>
        <v>46139</v>
      </c>
      <c r="T49" s="42">
        <f>IFERROR(VLOOKUP(B49,[1]月分析表!$A$9:$AT$120,44,0),0)+IFERROR(VLOOKUP(B49,[1]月分析表!$A$9:$AU$120,46,0),0)</f>
        <v>0</v>
      </c>
      <c r="U49" s="43">
        <f t="shared" si="5"/>
        <v>53330</v>
      </c>
    </row>
    <row r="50" spans="1:21">
      <c r="A50" s="44"/>
      <c r="B50" s="45" t="s">
        <v>72</v>
      </c>
      <c r="C50" s="54">
        <v>0</v>
      </c>
      <c r="D50" s="54"/>
      <c r="E50" s="54">
        <v>708</v>
      </c>
      <c r="F50" s="54">
        <v>0</v>
      </c>
      <c r="G50" s="54">
        <v>772</v>
      </c>
      <c r="H50" s="54">
        <v>0</v>
      </c>
      <c r="I50" s="41">
        <f t="shared" si="1"/>
        <v>772</v>
      </c>
      <c r="J50" s="40">
        <v>4123</v>
      </c>
      <c r="K50" s="40">
        <v>887</v>
      </c>
      <c r="L50" s="40">
        <v>118</v>
      </c>
      <c r="M50" s="40">
        <v>62</v>
      </c>
      <c r="N50" s="40">
        <v>0</v>
      </c>
      <c r="O50" s="40">
        <v>0</v>
      </c>
      <c r="P50" s="40">
        <v>6</v>
      </c>
      <c r="Q50" s="40">
        <v>4</v>
      </c>
      <c r="R50" s="42">
        <f t="shared" si="2"/>
        <v>5200</v>
      </c>
      <c r="S50" s="41">
        <f t="shared" si="3"/>
        <v>6680</v>
      </c>
      <c r="T50" s="42">
        <f>IFERROR(VLOOKUP(B50,[1]月分析表!$A$9:$AT$120,44,0),0)+IFERROR(VLOOKUP(B50,[1]月分析表!$A$9:$AU$120,46,0),0)</f>
        <v>0</v>
      </c>
      <c r="U50" s="43">
        <f t="shared" si="5"/>
        <v>6680</v>
      </c>
    </row>
    <row r="51" spans="1:21">
      <c r="A51" s="47"/>
      <c r="B51" s="39" t="s">
        <v>73</v>
      </c>
      <c r="C51" s="40">
        <v>1880</v>
      </c>
      <c r="D51" s="40">
        <v>9158</v>
      </c>
      <c r="E51" s="40">
        <v>329</v>
      </c>
      <c r="F51" s="40">
        <v>0</v>
      </c>
      <c r="G51" s="40">
        <v>1213</v>
      </c>
      <c r="H51" s="40">
        <v>0</v>
      </c>
      <c r="I51" s="41">
        <f t="shared" si="1"/>
        <v>1213</v>
      </c>
      <c r="J51" s="40">
        <v>1334</v>
      </c>
      <c r="K51" s="40">
        <v>375</v>
      </c>
      <c r="L51" s="40">
        <v>25</v>
      </c>
      <c r="M51" s="40">
        <v>38</v>
      </c>
      <c r="N51" s="40">
        <v>462</v>
      </c>
      <c r="O51" s="40">
        <v>0</v>
      </c>
      <c r="P51" s="40">
        <v>0</v>
      </c>
      <c r="Q51" s="40">
        <v>0</v>
      </c>
      <c r="R51" s="42">
        <f t="shared" si="2"/>
        <v>2234</v>
      </c>
      <c r="S51" s="41">
        <f t="shared" si="3"/>
        <v>12934</v>
      </c>
      <c r="T51" s="42">
        <f>IFERROR(VLOOKUP(B51,[1]月分析表!$A$9:$AT$120,44,0),0)+IFERROR(VLOOKUP(B51,[1]月分析表!$A$9:$AU$120,46,0),0)</f>
        <v>0</v>
      </c>
      <c r="U51" s="43">
        <f t="shared" si="5"/>
        <v>14814</v>
      </c>
    </row>
    <row r="52" spans="1:21">
      <c r="A52" s="38" t="s">
        <v>74</v>
      </c>
      <c r="B52" s="46" t="s">
        <v>75</v>
      </c>
      <c r="C52" s="40">
        <v>8211</v>
      </c>
      <c r="D52" s="40">
        <v>82623</v>
      </c>
      <c r="E52" s="40">
        <v>5115</v>
      </c>
      <c r="F52" s="40">
        <v>3</v>
      </c>
      <c r="G52" s="40">
        <v>2842</v>
      </c>
      <c r="H52" s="40">
        <v>0</v>
      </c>
      <c r="I52" s="41">
        <f t="shared" si="1"/>
        <v>2845</v>
      </c>
      <c r="J52" s="40">
        <v>39873</v>
      </c>
      <c r="K52" s="40">
        <v>5199</v>
      </c>
      <c r="L52" s="40">
        <v>1477</v>
      </c>
      <c r="M52" s="40">
        <v>492</v>
      </c>
      <c r="N52" s="40">
        <v>4173</v>
      </c>
      <c r="O52" s="40">
        <v>0</v>
      </c>
      <c r="P52" s="40">
        <v>86</v>
      </c>
      <c r="Q52" s="40">
        <v>33</v>
      </c>
      <c r="R52" s="42">
        <f t="shared" si="2"/>
        <v>51333</v>
      </c>
      <c r="S52" s="41">
        <f t="shared" si="3"/>
        <v>141916</v>
      </c>
      <c r="T52" s="42">
        <f>IFERROR(VLOOKUP(B52,[1]月分析表!$A$9:$AT$120,44,0),0)+IFERROR(VLOOKUP(B52,[1]月分析表!$A$9:$AU$120,46,0),0)</f>
        <v>7480</v>
      </c>
      <c r="U52" s="43">
        <f t="shared" si="5"/>
        <v>157607</v>
      </c>
    </row>
    <row r="53" spans="1:21">
      <c r="A53" s="44"/>
      <c r="B53" s="46" t="s">
        <v>76</v>
      </c>
      <c r="C53" s="40">
        <v>4515</v>
      </c>
      <c r="D53" s="40">
        <v>32808</v>
      </c>
      <c r="E53" s="40">
        <v>1505</v>
      </c>
      <c r="F53" s="40">
        <v>2</v>
      </c>
      <c r="G53" s="40">
        <v>1848</v>
      </c>
      <c r="H53" s="40">
        <v>0</v>
      </c>
      <c r="I53" s="41">
        <f t="shared" si="1"/>
        <v>1850</v>
      </c>
      <c r="J53" s="40">
        <v>20330</v>
      </c>
      <c r="K53" s="40">
        <v>2821</v>
      </c>
      <c r="L53" s="40">
        <v>1017</v>
      </c>
      <c r="M53" s="40">
        <v>614</v>
      </c>
      <c r="N53" s="40">
        <v>1657</v>
      </c>
      <c r="O53" s="40">
        <v>0</v>
      </c>
      <c r="P53" s="40">
        <v>25</v>
      </c>
      <c r="Q53" s="40">
        <v>11</v>
      </c>
      <c r="R53" s="42">
        <f t="shared" si="2"/>
        <v>26475</v>
      </c>
      <c r="S53" s="41">
        <f t="shared" si="3"/>
        <v>62638</v>
      </c>
      <c r="T53" s="42">
        <f>IFERROR(VLOOKUP(B53,[1]月分析表!$A$9:$AT$120,44,0),0)+IFERROR(VLOOKUP(B53,[1]月分析表!$A$9:$AU$120,46,0),0)</f>
        <v>0</v>
      </c>
      <c r="U53" s="43">
        <f t="shared" si="5"/>
        <v>67153</v>
      </c>
    </row>
    <row r="54" spans="1:21">
      <c r="A54" s="44"/>
      <c r="B54" s="39" t="s">
        <v>77</v>
      </c>
      <c r="C54" s="40">
        <v>20132</v>
      </c>
      <c r="D54" s="40">
        <v>136229</v>
      </c>
      <c r="E54" s="40">
        <v>5460</v>
      </c>
      <c r="F54" s="40">
        <v>3</v>
      </c>
      <c r="G54" s="40">
        <v>11845</v>
      </c>
      <c r="H54" s="40">
        <v>0</v>
      </c>
      <c r="I54" s="41">
        <f t="shared" si="1"/>
        <v>11848</v>
      </c>
      <c r="J54" s="40">
        <v>52725</v>
      </c>
      <c r="K54" s="40">
        <v>9540</v>
      </c>
      <c r="L54" s="40">
        <v>2258</v>
      </c>
      <c r="M54" s="40">
        <v>1098</v>
      </c>
      <c r="N54" s="40">
        <v>6881</v>
      </c>
      <c r="O54" s="40">
        <v>0</v>
      </c>
      <c r="P54" s="40">
        <v>93</v>
      </c>
      <c r="Q54" s="40">
        <v>41</v>
      </c>
      <c r="R54" s="42">
        <f t="shared" si="2"/>
        <v>72636</v>
      </c>
      <c r="S54" s="41">
        <f t="shared" si="3"/>
        <v>226173</v>
      </c>
      <c r="T54" s="42">
        <f>IFERROR(VLOOKUP(B54,[1]月分析表!$A$9:$AT$120,44,0),0)+IFERROR(VLOOKUP(B54,[1]月分析表!$A$9:$AU$120,46,0),0)</f>
        <v>2509</v>
      </c>
      <c r="U54" s="43">
        <f t="shared" si="5"/>
        <v>248814</v>
      </c>
    </row>
    <row r="55" spans="1:21">
      <c r="A55" s="44"/>
      <c r="B55" s="39" t="s">
        <v>78</v>
      </c>
      <c r="C55" s="40">
        <v>17773</v>
      </c>
      <c r="D55" s="40">
        <v>131093</v>
      </c>
      <c r="E55" s="40">
        <v>6125</v>
      </c>
      <c r="F55" s="40">
        <v>48</v>
      </c>
      <c r="G55" s="40">
        <v>8974</v>
      </c>
      <c r="H55" s="40">
        <v>0</v>
      </c>
      <c r="I55" s="41">
        <f t="shared" si="1"/>
        <v>9022</v>
      </c>
      <c r="J55" s="40">
        <v>40451</v>
      </c>
      <c r="K55" s="40">
        <v>7912</v>
      </c>
      <c r="L55" s="40">
        <v>2159</v>
      </c>
      <c r="M55" s="40">
        <v>1250</v>
      </c>
      <c r="N55" s="40">
        <v>6622</v>
      </c>
      <c r="O55" s="40">
        <v>0</v>
      </c>
      <c r="P55" s="40">
        <v>99</v>
      </c>
      <c r="Q55" s="40">
        <v>22</v>
      </c>
      <c r="R55" s="42">
        <f t="shared" si="2"/>
        <v>58515</v>
      </c>
      <c r="S55" s="41">
        <f t="shared" si="3"/>
        <v>204755</v>
      </c>
      <c r="T55" s="42">
        <f>IFERROR(VLOOKUP(B55,[1]月分析表!$A$9:$AT$120,44,0),0)+IFERROR(VLOOKUP(B55,[1]月分析表!$A$9:$AU$120,46,0),0)</f>
        <v>4846</v>
      </c>
      <c r="U55" s="43">
        <f t="shared" si="5"/>
        <v>227374</v>
      </c>
    </row>
    <row r="56" spans="1:21">
      <c r="A56" s="44"/>
      <c r="B56" s="39" t="s">
        <v>79</v>
      </c>
      <c r="C56" s="40">
        <v>13355</v>
      </c>
      <c r="D56" s="40">
        <v>97354</v>
      </c>
      <c r="E56" s="40">
        <v>4802</v>
      </c>
      <c r="F56" s="40">
        <v>0</v>
      </c>
      <c r="G56" s="40">
        <v>6891</v>
      </c>
      <c r="H56" s="40">
        <v>0</v>
      </c>
      <c r="I56" s="41">
        <f t="shared" si="1"/>
        <v>6891</v>
      </c>
      <c r="J56" s="40">
        <v>42645</v>
      </c>
      <c r="K56" s="40">
        <v>6664</v>
      </c>
      <c r="L56" s="40">
        <v>2076</v>
      </c>
      <c r="M56" s="40">
        <v>1150</v>
      </c>
      <c r="N56" s="40">
        <v>4917</v>
      </c>
      <c r="O56" s="40">
        <v>0</v>
      </c>
      <c r="P56" s="40">
        <v>113</v>
      </c>
      <c r="Q56" s="40">
        <v>45</v>
      </c>
      <c r="R56" s="42">
        <f t="shared" si="2"/>
        <v>57610</v>
      </c>
      <c r="S56" s="41">
        <f t="shared" si="3"/>
        <v>166657</v>
      </c>
      <c r="T56" s="42">
        <f>IFERROR(VLOOKUP(B56,[1]月分析表!$A$9:$AT$120,44,0),0)+IFERROR(VLOOKUP(B56,[1]月分析表!$A$9:$AU$120,46,0),0)</f>
        <v>79</v>
      </c>
      <c r="U56" s="43">
        <f t="shared" si="5"/>
        <v>180091</v>
      </c>
    </row>
    <row r="57" spans="1:21">
      <c r="A57" s="44"/>
      <c r="B57" s="39" t="s">
        <v>80</v>
      </c>
      <c r="C57" s="40">
        <v>7801</v>
      </c>
      <c r="D57" s="40">
        <v>63332</v>
      </c>
      <c r="E57" s="40">
        <v>3461</v>
      </c>
      <c r="F57" s="40">
        <v>12</v>
      </c>
      <c r="G57" s="40">
        <v>3211</v>
      </c>
      <c r="H57" s="40">
        <v>0</v>
      </c>
      <c r="I57" s="41">
        <f t="shared" si="1"/>
        <v>3223</v>
      </c>
      <c r="J57" s="40">
        <v>34284</v>
      </c>
      <c r="K57" s="40">
        <v>4457</v>
      </c>
      <c r="L57" s="40">
        <v>932</v>
      </c>
      <c r="M57" s="40">
        <v>438</v>
      </c>
      <c r="N57" s="40">
        <v>3198</v>
      </c>
      <c r="O57" s="40">
        <v>0</v>
      </c>
      <c r="P57" s="40">
        <v>67</v>
      </c>
      <c r="Q57" s="40">
        <v>18</v>
      </c>
      <c r="R57" s="42">
        <f t="shared" si="2"/>
        <v>43394</v>
      </c>
      <c r="S57" s="41">
        <f t="shared" si="3"/>
        <v>113410</v>
      </c>
      <c r="T57" s="42">
        <f>IFERROR(VLOOKUP(B57,[1]月分析表!$A$9:$AT$120,44,0),0)+IFERROR(VLOOKUP(B57,[1]月分析表!$A$9:$AU$120,46,0),0)</f>
        <v>0</v>
      </c>
      <c r="U57" s="43">
        <f t="shared" si="5"/>
        <v>121211</v>
      </c>
    </row>
    <row r="58" spans="1:21">
      <c r="A58" s="44"/>
      <c r="B58" s="39" t="s">
        <v>81</v>
      </c>
      <c r="C58" s="40">
        <v>17695</v>
      </c>
      <c r="D58" s="40">
        <v>128109</v>
      </c>
      <c r="E58" s="40">
        <v>5706</v>
      </c>
      <c r="F58" s="40">
        <v>132</v>
      </c>
      <c r="G58" s="40">
        <v>9929</v>
      </c>
      <c r="H58" s="40">
        <v>0</v>
      </c>
      <c r="I58" s="41">
        <f t="shared" si="1"/>
        <v>10061</v>
      </c>
      <c r="J58" s="40">
        <v>42204</v>
      </c>
      <c r="K58" s="40">
        <v>8649</v>
      </c>
      <c r="L58" s="40">
        <v>2022</v>
      </c>
      <c r="M58" s="40">
        <v>1087</v>
      </c>
      <c r="N58" s="40">
        <v>6470</v>
      </c>
      <c r="O58" s="40">
        <v>0</v>
      </c>
      <c r="P58" s="40">
        <v>48</v>
      </c>
      <c r="Q58" s="40">
        <v>29</v>
      </c>
      <c r="R58" s="42">
        <f t="shared" si="2"/>
        <v>60509</v>
      </c>
      <c r="S58" s="41">
        <f t="shared" si="3"/>
        <v>204385</v>
      </c>
      <c r="T58" s="42">
        <f>IFERROR(VLOOKUP(B58,[1]月分析表!$A$9:$AT$120,44,0),0)+IFERROR(VLOOKUP(B58,[1]月分析表!$A$9:$AU$120,46,0),0)</f>
        <v>8734</v>
      </c>
      <c r="U58" s="43">
        <f t="shared" si="5"/>
        <v>230814</v>
      </c>
    </row>
    <row r="59" ht="15" spans="1:21">
      <c r="A59" s="44"/>
      <c r="B59" s="45" t="s">
        <v>82</v>
      </c>
      <c r="C59" s="55">
        <v>3125</v>
      </c>
      <c r="D59" s="55">
        <v>10731</v>
      </c>
      <c r="E59" s="55">
        <v>583</v>
      </c>
      <c r="F59" s="55">
        <v>0</v>
      </c>
      <c r="G59" s="55">
        <v>417</v>
      </c>
      <c r="H59" s="55">
        <v>0</v>
      </c>
      <c r="I59" s="41">
        <f t="shared" si="1"/>
        <v>417</v>
      </c>
      <c r="J59" s="40">
        <v>6190</v>
      </c>
      <c r="K59" s="40">
        <v>1162</v>
      </c>
      <c r="L59" s="40">
        <v>81</v>
      </c>
      <c r="M59" s="40">
        <v>103</v>
      </c>
      <c r="N59" s="40">
        <v>542</v>
      </c>
      <c r="O59" s="40">
        <v>0</v>
      </c>
      <c r="P59" s="40">
        <v>1</v>
      </c>
      <c r="Q59" s="40">
        <v>3</v>
      </c>
      <c r="R59" s="42">
        <f t="shared" si="2"/>
        <v>8082</v>
      </c>
      <c r="S59" s="41">
        <f t="shared" si="3"/>
        <v>19813</v>
      </c>
      <c r="T59" s="42">
        <f>IFERROR(VLOOKUP(B59,[1]月分析表!$A$9:$AT$120,44,0),0)+IFERROR(VLOOKUP(B59,[1]月分析表!$A$9:$AU$120,46,0),0)</f>
        <v>0</v>
      </c>
      <c r="U59" s="43">
        <f t="shared" si="5"/>
        <v>22938</v>
      </c>
    </row>
    <row r="60" ht="15" spans="1:21">
      <c r="A60" s="44"/>
      <c r="B60" s="45" t="s">
        <v>83</v>
      </c>
      <c r="C60" s="55">
        <v>473</v>
      </c>
      <c r="D60" s="55">
        <v>3851</v>
      </c>
      <c r="E60" s="55">
        <v>181</v>
      </c>
      <c r="F60" s="55">
        <v>0</v>
      </c>
      <c r="G60" s="55">
        <v>997</v>
      </c>
      <c r="H60" s="55">
        <v>0</v>
      </c>
      <c r="I60" s="41">
        <f t="shared" si="1"/>
        <v>997</v>
      </c>
      <c r="J60" s="40">
        <v>1313</v>
      </c>
      <c r="K60" s="40">
        <v>215</v>
      </c>
      <c r="L60" s="40">
        <v>34</v>
      </c>
      <c r="M60" s="40">
        <v>14</v>
      </c>
      <c r="N60" s="40">
        <v>194</v>
      </c>
      <c r="O60" s="40">
        <v>0</v>
      </c>
      <c r="P60" s="40">
        <v>44</v>
      </c>
      <c r="Q60" s="40">
        <v>0</v>
      </c>
      <c r="R60" s="42">
        <f t="shared" si="2"/>
        <v>1814</v>
      </c>
      <c r="S60" s="41">
        <f t="shared" si="3"/>
        <v>6843</v>
      </c>
      <c r="T60" s="42">
        <f>IFERROR(VLOOKUP(B60,[1]月分析表!$A$9:$AT$120,44,0),0)+IFERROR(VLOOKUP(B60,[1]月分析表!$A$9:$AU$120,46,0),0)</f>
        <v>0</v>
      </c>
      <c r="U60" s="43">
        <f t="shared" si="5"/>
        <v>7316</v>
      </c>
    </row>
    <row r="61" ht="15" spans="1:21">
      <c r="A61" s="47"/>
      <c r="B61" s="45" t="s">
        <v>84</v>
      </c>
      <c r="C61" s="55">
        <v>3010</v>
      </c>
      <c r="D61" s="55">
        <v>7672</v>
      </c>
      <c r="E61" s="55">
        <v>196</v>
      </c>
      <c r="F61" s="55">
        <v>0</v>
      </c>
      <c r="G61" s="55">
        <v>0</v>
      </c>
      <c r="H61" s="55">
        <v>0</v>
      </c>
      <c r="I61" s="41">
        <f t="shared" si="1"/>
        <v>0</v>
      </c>
      <c r="J61" s="40">
        <v>0</v>
      </c>
      <c r="K61" s="40">
        <v>0</v>
      </c>
      <c r="L61" s="40">
        <v>0</v>
      </c>
      <c r="M61" s="40">
        <v>0</v>
      </c>
      <c r="N61" s="40">
        <v>387</v>
      </c>
      <c r="O61" s="40">
        <v>0</v>
      </c>
      <c r="P61" s="40">
        <v>0</v>
      </c>
      <c r="Q61" s="40">
        <v>0</v>
      </c>
      <c r="R61" s="42">
        <f t="shared" si="2"/>
        <v>387</v>
      </c>
      <c r="S61" s="41">
        <f t="shared" si="3"/>
        <v>8255</v>
      </c>
      <c r="T61" s="42">
        <f>IFERROR(VLOOKUP(B61,[1]月分析表!$A$9:$AT$120,44,0),0)+IFERROR(VLOOKUP(B61,[1]月分析表!$A$9:$AU$120,46,0),0)</f>
        <v>0</v>
      </c>
      <c r="U61" s="43">
        <f t="shared" si="5"/>
        <v>11265</v>
      </c>
    </row>
    <row r="62" ht="15" spans="1:21">
      <c r="A62" s="38" t="s">
        <v>85</v>
      </c>
      <c r="B62" s="45" t="s">
        <v>86</v>
      </c>
      <c r="C62" s="55">
        <v>11435</v>
      </c>
      <c r="D62" s="55">
        <v>124172</v>
      </c>
      <c r="E62" s="55">
        <v>5350</v>
      </c>
      <c r="F62" s="55">
        <v>81</v>
      </c>
      <c r="G62" s="55">
        <v>5982</v>
      </c>
      <c r="H62" s="55">
        <v>0</v>
      </c>
      <c r="I62" s="41">
        <f t="shared" si="1"/>
        <v>6063</v>
      </c>
      <c r="J62" s="40">
        <v>47023</v>
      </c>
      <c r="K62" s="40">
        <v>7260</v>
      </c>
      <c r="L62" s="40">
        <v>1935</v>
      </c>
      <c r="M62" s="40">
        <v>837</v>
      </c>
      <c r="N62" s="40">
        <v>6272</v>
      </c>
      <c r="O62" s="40">
        <v>0</v>
      </c>
      <c r="P62" s="40">
        <v>177</v>
      </c>
      <c r="Q62" s="40">
        <v>94</v>
      </c>
      <c r="R62" s="42">
        <f t="shared" si="2"/>
        <v>63598</v>
      </c>
      <c r="S62" s="41">
        <f t="shared" si="3"/>
        <v>199183</v>
      </c>
      <c r="T62" s="42">
        <f>IFERROR(VLOOKUP(B62,[1]月分析表!$A$9:$AT$120,44,0),0)+IFERROR(VLOOKUP(B62,[1]月分析表!$A$9:$AU$120,46,0),0)</f>
        <v>0</v>
      </c>
      <c r="U62" s="43">
        <f t="shared" si="5"/>
        <v>210618</v>
      </c>
    </row>
    <row r="63" ht="15" spans="1:21">
      <c r="A63" s="44"/>
      <c r="B63" s="39" t="s">
        <v>87</v>
      </c>
      <c r="C63" s="55">
        <v>12716</v>
      </c>
      <c r="D63" s="55">
        <v>98460</v>
      </c>
      <c r="E63" s="55">
        <v>4473</v>
      </c>
      <c r="F63" s="55">
        <v>3</v>
      </c>
      <c r="G63" s="55">
        <v>2372</v>
      </c>
      <c r="H63" s="55">
        <v>0</v>
      </c>
      <c r="I63" s="41">
        <f t="shared" si="1"/>
        <v>2375</v>
      </c>
      <c r="J63" s="40">
        <v>44482</v>
      </c>
      <c r="K63" s="40">
        <v>7545</v>
      </c>
      <c r="L63" s="40">
        <v>1949</v>
      </c>
      <c r="M63" s="40">
        <v>976</v>
      </c>
      <c r="N63" s="40">
        <v>4973</v>
      </c>
      <c r="O63" s="40">
        <v>0</v>
      </c>
      <c r="P63" s="40">
        <v>73</v>
      </c>
      <c r="Q63" s="40">
        <v>31</v>
      </c>
      <c r="R63" s="42">
        <f t="shared" si="2"/>
        <v>60029</v>
      </c>
      <c r="S63" s="41">
        <f t="shared" si="3"/>
        <v>165337</v>
      </c>
      <c r="T63" s="42">
        <f>IFERROR(VLOOKUP(B63,[1]月分析表!$A$9:$AT$120,44,0),0)+IFERROR(VLOOKUP(B63,[1]月分析表!$A$9:$AU$120,46,0),0)</f>
        <v>5775</v>
      </c>
      <c r="U63" s="43">
        <f t="shared" si="5"/>
        <v>183828</v>
      </c>
    </row>
    <row r="64" ht="15" spans="1:21">
      <c r="A64" s="44"/>
      <c r="B64" s="39" t="s">
        <v>88</v>
      </c>
      <c r="C64" s="55">
        <v>11189</v>
      </c>
      <c r="D64" s="55">
        <v>93732</v>
      </c>
      <c r="E64" s="55">
        <v>4541</v>
      </c>
      <c r="F64" s="55">
        <v>3</v>
      </c>
      <c r="G64" s="55">
        <v>2346</v>
      </c>
      <c r="H64" s="55">
        <v>0</v>
      </c>
      <c r="I64" s="41">
        <f t="shared" si="1"/>
        <v>2349</v>
      </c>
      <c r="J64" s="40">
        <v>41900</v>
      </c>
      <c r="K64" s="40">
        <v>6924</v>
      </c>
      <c r="L64" s="40">
        <v>2017</v>
      </c>
      <c r="M64" s="40">
        <v>897</v>
      </c>
      <c r="N64" s="40">
        <v>4735</v>
      </c>
      <c r="O64" s="40">
        <v>0</v>
      </c>
      <c r="P64" s="40">
        <v>129</v>
      </c>
      <c r="Q64" s="40">
        <v>39</v>
      </c>
      <c r="R64" s="42">
        <f t="shared" si="2"/>
        <v>56641</v>
      </c>
      <c r="S64" s="41">
        <f t="shared" si="3"/>
        <v>157263</v>
      </c>
      <c r="T64" s="42">
        <f>IFERROR(VLOOKUP(B64,[1]月分析表!$A$9:$AT$120,44,0),0)+IFERROR(VLOOKUP(B64,[1]月分析表!$A$9:$AU$120,46,0),0)</f>
        <v>0</v>
      </c>
      <c r="U64" s="43">
        <f t="shared" si="5"/>
        <v>168452</v>
      </c>
    </row>
    <row r="65" ht="15" spans="1:21">
      <c r="A65" s="44"/>
      <c r="B65" s="45" t="s">
        <v>89</v>
      </c>
      <c r="C65" s="55">
        <v>14964</v>
      </c>
      <c r="D65" s="55">
        <v>102120</v>
      </c>
      <c r="E65" s="55">
        <v>5460</v>
      </c>
      <c r="F65" s="55">
        <v>4</v>
      </c>
      <c r="G65" s="55">
        <v>3770</v>
      </c>
      <c r="H65" s="55">
        <v>0</v>
      </c>
      <c r="I65" s="41">
        <f t="shared" si="1"/>
        <v>3774</v>
      </c>
      <c r="J65" s="40">
        <v>66512</v>
      </c>
      <c r="K65" s="40">
        <v>8005</v>
      </c>
      <c r="L65" s="40">
        <v>2685</v>
      </c>
      <c r="M65" s="40">
        <v>1036</v>
      </c>
      <c r="N65" s="40">
        <v>5157</v>
      </c>
      <c r="O65" s="40">
        <v>0</v>
      </c>
      <c r="P65" s="40">
        <v>60</v>
      </c>
      <c r="Q65" s="40">
        <v>102</v>
      </c>
      <c r="R65" s="42">
        <f t="shared" si="2"/>
        <v>83557</v>
      </c>
      <c r="S65" s="41">
        <f t="shared" si="3"/>
        <v>194911</v>
      </c>
      <c r="T65" s="42">
        <f>IFERROR(VLOOKUP(B65,[1]月分析表!$A$9:$AT$120,44,0),0)+IFERROR(VLOOKUP(B65,[1]月分析表!$A$9:$AU$120,46,0),0)</f>
        <v>0</v>
      </c>
      <c r="U65" s="43">
        <f t="shared" si="5"/>
        <v>209875</v>
      </c>
    </row>
    <row r="66" ht="15" spans="1:21">
      <c r="A66" s="44"/>
      <c r="B66" s="45" t="s">
        <v>90</v>
      </c>
      <c r="C66" s="55">
        <v>9041</v>
      </c>
      <c r="D66" s="55">
        <v>119539</v>
      </c>
      <c r="E66" s="55">
        <v>3864</v>
      </c>
      <c r="F66" s="55">
        <v>13</v>
      </c>
      <c r="G66" s="55">
        <v>2389</v>
      </c>
      <c r="H66" s="55">
        <v>0</v>
      </c>
      <c r="I66" s="41">
        <f t="shared" si="1"/>
        <v>2402</v>
      </c>
      <c r="J66" s="40">
        <v>32618</v>
      </c>
      <c r="K66" s="40">
        <v>4284</v>
      </c>
      <c r="L66" s="40">
        <v>840</v>
      </c>
      <c r="M66" s="40">
        <v>448</v>
      </c>
      <c r="N66" s="40">
        <v>6038</v>
      </c>
      <c r="O66" s="40">
        <v>0</v>
      </c>
      <c r="P66" s="40">
        <v>210</v>
      </c>
      <c r="Q66" s="40">
        <v>42</v>
      </c>
      <c r="R66" s="42">
        <f t="shared" si="2"/>
        <v>44480</v>
      </c>
      <c r="S66" s="41">
        <f t="shared" si="3"/>
        <v>170285</v>
      </c>
      <c r="T66" s="42">
        <f>IFERROR(VLOOKUP(B66,[1]月分析表!$A$9:$AT$120,44,0),0)+IFERROR(VLOOKUP(B66,[1]月分析表!$A$9:$AU$120,46,0),0)</f>
        <v>0</v>
      </c>
      <c r="U66" s="43">
        <f t="shared" si="5"/>
        <v>179326</v>
      </c>
    </row>
    <row r="67" ht="15" spans="1:21">
      <c r="A67" s="44"/>
      <c r="B67" s="45" t="s">
        <v>91</v>
      </c>
      <c r="C67" s="55">
        <v>6894</v>
      </c>
      <c r="D67" s="55">
        <v>33016</v>
      </c>
      <c r="E67" s="55">
        <v>1920</v>
      </c>
      <c r="F67" s="55">
        <v>39</v>
      </c>
      <c r="G67" s="55">
        <v>4279</v>
      </c>
      <c r="H67" s="55">
        <v>0</v>
      </c>
      <c r="I67" s="41">
        <f t="shared" si="1"/>
        <v>4318</v>
      </c>
      <c r="J67" s="40">
        <v>18461</v>
      </c>
      <c r="K67" s="40">
        <v>2862</v>
      </c>
      <c r="L67" s="40">
        <v>581</v>
      </c>
      <c r="M67" s="40">
        <v>225</v>
      </c>
      <c r="N67" s="40">
        <v>1668</v>
      </c>
      <c r="O67" s="40">
        <v>0</v>
      </c>
      <c r="P67" s="40">
        <v>23</v>
      </c>
      <c r="Q67" s="40">
        <v>22</v>
      </c>
      <c r="R67" s="42">
        <f t="shared" si="2"/>
        <v>23842</v>
      </c>
      <c r="S67" s="41">
        <f t="shared" si="3"/>
        <v>63096</v>
      </c>
      <c r="T67" s="42">
        <f>IFERROR(VLOOKUP(B67,[1]月分析表!$A$9:$AT$120,44,0),0)+IFERROR(VLOOKUP(B67,[1]月分析表!$A$9:$AU$120,46,0),0)</f>
        <v>0</v>
      </c>
      <c r="U67" s="43">
        <f t="shared" si="5"/>
        <v>69990</v>
      </c>
    </row>
    <row r="68" ht="15" spans="1:21">
      <c r="A68" s="44"/>
      <c r="B68" s="45" t="s">
        <v>92</v>
      </c>
      <c r="C68" s="55">
        <v>2160</v>
      </c>
      <c r="D68" s="55">
        <v>11915</v>
      </c>
      <c r="E68" s="55">
        <v>935</v>
      </c>
      <c r="F68" s="55">
        <v>0</v>
      </c>
      <c r="G68" s="55">
        <v>1345</v>
      </c>
      <c r="H68" s="55">
        <v>0</v>
      </c>
      <c r="I68" s="41">
        <f t="shared" si="1"/>
        <v>1345</v>
      </c>
      <c r="J68" s="40">
        <v>9808</v>
      </c>
      <c r="K68" s="40">
        <v>1530</v>
      </c>
      <c r="L68" s="40">
        <v>325</v>
      </c>
      <c r="M68" s="40">
        <v>100</v>
      </c>
      <c r="N68" s="40">
        <v>602</v>
      </c>
      <c r="O68" s="40">
        <v>0</v>
      </c>
      <c r="P68" s="40">
        <v>5</v>
      </c>
      <c r="Q68" s="40">
        <v>5</v>
      </c>
      <c r="R68" s="42">
        <f t="shared" si="2"/>
        <v>12375</v>
      </c>
      <c r="S68" s="41">
        <f t="shared" si="3"/>
        <v>26570</v>
      </c>
      <c r="T68" s="42">
        <f>IFERROR(VLOOKUP(B68,[1]月分析表!$A$9:$AT$120,44,0),0)+IFERROR(VLOOKUP(B68,[1]月分析表!$A$9:$AU$120,46,0),0)</f>
        <v>0</v>
      </c>
      <c r="U68" s="43">
        <f t="shared" si="5"/>
        <v>28730</v>
      </c>
    </row>
    <row r="69" spans="1:21">
      <c r="A69" s="44"/>
      <c r="B69" s="56" t="s">
        <v>93</v>
      </c>
      <c r="C69" s="49">
        <v>38</v>
      </c>
      <c r="D69" s="49">
        <v>1774</v>
      </c>
      <c r="E69" s="49">
        <v>29</v>
      </c>
      <c r="F69" s="49">
        <v>0</v>
      </c>
      <c r="G69" s="49">
        <v>0</v>
      </c>
      <c r="H69" s="49">
        <v>0</v>
      </c>
      <c r="I69" s="50">
        <f t="shared" si="1"/>
        <v>0</v>
      </c>
      <c r="J69" s="49">
        <v>56</v>
      </c>
      <c r="K69" s="49">
        <v>8</v>
      </c>
      <c r="L69" s="49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2">
        <f t="shared" si="2"/>
        <v>64</v>
      </c>
      <c r="S69" s="41">
        <f t="shared" si="3"/>
        <v>1867</v>
      </c>
      <c r="T69" s="51">
        <f>IFERROR(VLOOKUP(B69,[1]月分析表!$A$9:$AT$78,44,0),0)+IFERROR(VLOOKUP(B69,[1]月分析表!$A$9:$AU$78,46,0),0)+S69+C69</f>
        <v>1905</v>
      </c>
      <c r="U69" s="43">
        <f>T69</f>
        <v>1905</v>
      </c>
    </row>
    <row r="70" spans="1:21">
      <c r="A70" s="47"/>
      <c r="B70" s="57" t="s">
        <v>94</v>
      </c>
      <c r="C70" s="49"/>
      <c r="D70" s="49"/>
      <c r="E70" s="49"/>
      <c r="F70" s="49"/>
      <c r="G70" s="49"/>
      <c r="H70" s="49"/>
      <c r="I70" s="50">
        <f t="shared" si="1"/>
        <v>0</v>
      </c>
      <c r="J70" s="49"/>
      <c r="K70" s="49"/>
      <c r="L70" s="49"/>
      <c r="M70" s="49"/>
      <c r="N70" s="49"/>
      <c r="O70" s="49"/>
      <c r="P70" s="49"/>
      <c r="Q70" s="49"/>
      <c r="R70" s="42">
        <f t="shared" si="2"/>
        <v>0</v>
      </c>
      <c r="S70" s="41">
        <f t="shared" si="3"/>
        <v>0</v>
      </c>
      <c r="T70" s="51">
        <f>IFERROR(VLOOKUP(B70,[1]月分析表!$A$9:$AT$78,44,0),0)+IFERROR(VLOOKUP(B70,[1]月分析表!$A$9:$AU$78,46,0),0)+S70+C70</f>
        <v>15280</v>
      </c>
      <c r="U70" s="43">
        <f>T70</f>
        <v>15280</v>
      </c>
    </row>
    <row r="71" ht="15" spans="1:21">
      <c r="A71" s="38" t="s">
        <v>95</v>
      </c>
      <c r="B71" s="46" t="s">
        <v>96</v>
      </c>
      <c r="C71" s="55">
        <v>10464</v>
      </c>
      <c r="D71" s="55">
        <v>81463</v>
      </c>
      <c r="E71" s="55">
        <v>2194</v>
      </c>
      <c r="F71" s="55">
        <v>1</v>
      </c>
      <c r="G71" s="55">
        <v>1516</v>
      </c>
      <c r="H71" s="55">
        <v>0</v>
      </c>
      <c r="I71" s="41">
        <f t="shared" ref="I71:I83" si="6">SUM(F71:H71)</f>
        <v>1517</v>
      </c>
      <c r="J71" s="40">
        <v>22128</v>
      </c>
      <c r="K71" s="40">
        <v>3513</v>
      </c>
      <c r="L71" s="40">
        <v>934</v>
      </c>
      <c r="M71" s="40">
        <v>297</v>
      </c>
      <c r="N71" s="40">
        <v>4115</v>
      </c>
      <c r="O71" s="40">
        <v>0</v>
      </c>
      <c r="P71" s="40">
        <v>32</v>
      </c>
      <c r="Q71" s="40">
        <v>17</v>
      </c>
      <c r="R71" s="42">
        <f t="shared" ref="R71:R83" si="7">SUM(J71:Q71)</f>
        <v>31036</v>
      </c>
      <c r="S71" s="41">
        <f t="shared" ref="S71:S83" si="8">R71+I71+E71+D71</f>
        <v>116210</v>
      </c>
      <c r="T71" s="42">
        <f>IFERROR(VLOOKUP(B71,[1]月分析表!$A$9:$AT$120,44,0),0)+IFERROR(VLOOKUP(B71,[1]月分析表!$A$9:$AU$120,46,0),0)</f>
        <v>0</v>
      </c>
      <c r="U71" s="43">
        <f t="shared" ref="U71:U77" si="9">S71+C71+T71</f>
        <v>126674</v>
      </c>
    </row>
    <row r="72" ht="15" spans="1:21">
      <c r="A72" s="44"/>
      <c r="B72" s="46" t="s">
        <v>97</v>
      </c>
      <c r="C72" s="55">
        <v>2414</v>
      </c>
      <c r="D72" s="55">
        <v>21192</v>
      </c>
      <c r="E72" s="55">
        <v>729</v>
      </c>
      <c r="F72" s="55">
        <v>0</v>
      </c>
      <c r="G72" s="55">
        <v>788</v>
      </c>
      <c r="H72" s="55">
        <v>0</v>
      </c>
      <c r="I72" s="41">
        <f t="shared" si="6"/>
        <v>788</v>
      </c>
      <c r="J72" s="40">
        <v>6027</v>
      </c>
      <c r="K72" s="40">
        <v>1006</v>
      </c>
      <c r="L72" s="40">
        <v>232</v>
      </c>
      <c r="M72" s="40">
        <v>185</v>
      </c>
      <c r="N72" s="40">
        <v>1070</v>
      </c>
      <c r="O72" s="40">
        <v>0</v>
      </c>
      <c r="P72" s="40">
        <v>22</v>
      </c>
      <c r="Q72" s="40">
        <v>8</v>
      </c>
      <c r="R72" s="42">
        <f t="shared" si="7"/>
        <v>8550</v>
      </c>
      <c r="S72" s="41">
        <f t="shared" si="8"/>
        <v>31259</v>
      </c>
      <c r="T72" s="42">
        <f>IFERROR(VLOOKUP(B72,[1]月分析表!$A$9:$AT$120,44,0),0)+IFERROR(VLOOKUP(B72,[1]月分析表!$A$9:$AU$120,46,0),0)</f>
        <v>0</v>
      </c>
      <c r="U72" s="43">
        <f t="shared" si="9"/>
        <v>33673</v>
      </c>
    </row>
    <row r="73" ht="15" spans="1:21">
      <c r="A73" s="44"/>
      <c r="B73" s="46" t="s">
        <v>98</v>
      </c>
      <c r="C73" s="55">
        <v>11861</v>
      </c>
      <c r="D73" s="55">
        <v>82326</v>
      </c>
      <c r="E73" s="55">
        <v>2250</v>
      </c>
      <c r="F73" s="55">
        <v>18</v>
      </c>
      <c r="G73" s="55">
        <v>672</v>
      </c>
      <c r="H73" s="55">
        <v>0</v>
      </c>
      <c r="I73" s="41">
        <f t="shared" si="6"/>
        <v>690</v>
      </c>
      <c r="J73" s="40">
        <v>9300</v>
      </c>
      <c r="K73" s="40">
        <v>1849</v>
      </c>
      <c r="L73" s="40">
        <v>457</v>
      </c>
      <c r="M73" s="40">
        <v>326</v>
      </c>
      <c r="N73" s="40">
        <v>4158</v>
      </c>
      <c r="O73" s="40">
        <v>0</v>
      </c>
      <c r="P73" s="40">
        <v>52</v>
      </c>
      <c r="Q73" s="40">
        <v>62</v>
      </c>
      <c r="R73" s="42">
        <f t="shared" si="7"/>
        <v>16204</v>
      </c>
      <c r="S73" s="41">
        <f t="shared" si="8"/>
        <v>101470</v>
      </c>
      <c r="T73" s="42">
        <f>IFERROR(VLOOKUP(B73,[1]月分析表!$A$9:$AT$120,44,0),0)+IFERROR(VLOOKUP(B73,[1]月分析表!$A$9:$AU$120,46,0),0)</f>
        <v>0</v>
      </c>
      <c r="U73" s="43">
        <f t="shared" si="9"/>
        <v>113331</v>
      </c>
    </row>
    <row r="74" ht="15" spans="1:21">
      <c r="A74" s="44"/>
      <c r="B74" s="46" t="s">
        <v>99</v>
      </c>
      <c r="C74" s="55">
        <v>3120</v>
      </c>
      <c r="D74" s="55">
        <v>11520</v>
      </c>
      <c r="E74" s="55">
        <v>612</v>
      </c>
      <c r="F74" s="55">
        <v>0</v>
      </c>
      <c r="G74" s="55">
        <v>886</v>
      </c>
      <c r="H74" s="55">
        <v>0</v>
      </c>
      <c r="I74" s="41">
        <f t="shared" si="6"/>
        <v>886</v>
      </c>
      <c r="J74" s="40">
        <v>3493</v>
      </c>
      <c r="K74" s="40">
        <v>840</v>
      </c>
      <c r="L74" s="40">
        <v>155</v>
      </c>
      <c r="M74" s="40">
        <v>72</v>
      </c>
      <c r="N74" s="40">
        <v>582</v>
      </c>
      <c r="O74" s="40">
        <v>0</v>
      </c>
      <c r="P74" s="40">
        <v>5</v>
      </c>
      <c r="Q74" s="40">
        <v>2</v>
      </c>
      <c r="R74" s="42">
        <f t="shared" si="7"/>
        <v>5149</v>
      </c>
      <c r="S74" s="41">
        <f t="shared" si="8"/>
        <v>18167</v>
      </c>
      <c r="T74" s="42">
        <f>IFERROR(VLOOKUP(B74,[1]月分析表!$A$9:$AT$120,44,0),0)+IFERROR(VLOOKUP(B74,[1]月分析表!$A$9:$AU$120,46,0),0)</f>
        <v>0</v>
      </c>
      <c r="U74" s="43">
        <f t="shared" si="9"/>
        <v>21287</v>
      </c>
    </row>
    <row r="75" ht="15" spans="1:21">
      <c r="A75" s="44"/>
      <c r="B75" s="46" t="s">
        <v>100</v>
      </c>
      <c r="C75" s="55">
        <v>40</v>
      </c>
      <c r="D75" s="55">
        <v>655</v>
      </c>
      <c r="E75" s="55">
        <v>44</v>
      </c>
      <c r="F75" s="55">
        <v>0</v>
      </c>
      <c r="G75" s="55">
        <v>5</v>
      </c>
      <c r="H75" s="55">
        <v>0</v>
      </c>
      <c r="I75" s="41">
        <f t="shared" si="6"/>
        <v>5</v>
      </c>
      <c r="J75" s="40">
        <v>72</v>
      </c>
      <c r="K75" s="40">
        <v>24</v>
      </c>
      <c r="L75" s="40">
        <v>0</v>
      </c>
      <c r="M75" s="40">
        <v>3</v>
      </c>
      <c r="N75" s="40">
        <v>33</v>
      </c>
      <c r="O75" s="40">
        <v>0</v>
      </c>
      <c r="P75" s="40">
        <v>0</v>
      </c>
      <c r="Q75" s="40">
        <v>0</v>
      </c>
      <c r="R75" s="42">
        <f t="shared" si="7"/>
        <v>132</v>
      </c>
      <c r="S75" s="41">
        <f t="shared" si="8"/>
        <v>836</v>
      </c>
      <c r="T75" s="42">
        <f>IFERROR(VLOOKUP(B75,[1]月分析表!$A$9:$AT$120,44,0),0)+IFERROR(VLOOKUP(B75,[1]月分析表!$A$9:$AU$120,46,0),0)</f>
        <v>0</v>
      </c>
      <c r="U75" s="43">
        <f t="shared" si="9"/>
        <v>876</v>
      </c>
    </row>
    <row r="76" ht="15" spans="1:21">
      <c r="A76" s="44"/>
      <c r="B76" s="46" t="s">
        <v>101</v>
      </c>
      <c r="C76" s="55">
        <v>2142</v>
      </c>
      <c r="D76" s="55">
        <v>1994</v>
      </c>
      <c r="E76" s="55">
        <v>16</v>
      </c>
      <c r="F76" s="55">
        <v>0</v>
      </c>
      <c r="G76" s="55">
        <v>0</v>
      </c>
      <c r="H76" s="55">
        <v>0</v>
      </c>
      <c r="I76" s="41">
        <f t="shared" si="6"/>
        <v>0</v>
      </c>
      <c r="J76" s="40">
        <v>0</v>
      </c>
      <c r="K76" s="40">
        <v>0</v>
      </c>
      <c r="L76" s="40">
        <v>0</v>
      </c>
      <c r="M76" s="40">
        <v>0</v>
      </c>
      <c r="N76" s="40">
        <v>100</v>
      </c>
      <c r="O76" s="40">
        <v>0</v>
      </c>
      <c r="P76" s="40">
        <v>0</v>
      </c>
      <c r="Q76" s="40">
        <v>0</v>
      </c>
      <c r="R76" s="42">
        <f t="shared" si="7"/>
        <v>100</v>
      </c>
      <c r="S76" s="41">
        <f t="shared" si="8"/>
        <v>2110</v>
      </c>
      <c r="T76" s="42">
        <f>IFERROR(VLOOKUP(B76,[1]月分析表!$A$9:$AT$120,44,0),0)+IFERROR(VLOOKUP(B76,[1]月分析表!$A$9:$AU$120,46,0),0)</f>
        <v>0</v>
      </c>
      <c r="U76" s="43">
        <f t="shared" si="9"/>
        <v>4252</v>
      </c>
    </row>
    <row r="77" ht="15" spans="1:21">
      <c r="A77" s="44"/>
      <c r="B77" s="46" t="s">
        <v>102</v>
      </c>
      <c r="C77" s="55">
        <v>4194</v>
      </c>
      <c r="D77" s="55">
        <v>20229</v>
      </c>
      <c r="E77" s="55">
        <v>513</v>
      </c>
      <c r="F77" s="55">
        <v>0</v>
      </c>
      <c r="G77" s="55">
        <v>0</v>
      </c>
      <c r="H77" s="55">
        <v>0</v>
      </c>
      <c r="I77" s="41">
        <f t="shared" si="6"/>
        <v>0</v>
      </c>
      <c r="J77" s="40">
        <v>0</v>
      </c>
      <c r="K77" s="40">
        <v>0</v>
      </c>
      <c r="L77" s="40">
        <v>0</v>
      </c>
      <c r="M77" s="40">
        <v>0</v>
      </c>
      <c r="N77" s="40">
        <v>1022</v>
      </c>
      <c r="O77" s="40">
        <v>0</v>
      </c>
      <c r="P77" s="40">
        <v>0</v>
      </c>
      <c r="Q77" s="40">
        <v>0</v>
      </c>
      <c r="R77" s="42">
        <f t="shared" si="7"/>
        <v>1022</v>
      </c>
      <c r="S77" s="41">
        <f t="shared" si="8"/>
        <v>21764</v>
      </c>
      <c r="T77" s="42">
        <f>IFERROR(VLOOKUP(B77,[1]月分析表!$A$9:$AT$120,44,0),0)+IFERROR(VLOOKUP(B77,[1]月分析表!$A$9:$AU$120,46,0),0)</f>
        <v>0</v>
      </c>
      <c r="U77" s="43">
        <f t="shared" si="9"/>
        <v>25958</v>
      </c>
    </row>
    <row r="78" spans="1:21">
      <c r="A78" s="44"/>
      <c r="B78" s="58" t="s">
        <v>103</v>
      </c>
      <c r="C78" s="49">
        <v>56</v>
      </c>
      <c r="D78" s="49">
        <v>682</v>
      </c>
      <c r="E78" s="49">
        <v>8</v>
      </c>
      <c r="F78" s="49">
        <v>0</v>
      </c>
      <c r="G78" s="49">
        <v>0</v>
      </c>
      <c r="H78" s="49">
        <v>0</v>
      </c>
      <c r="I78" s="50">
        <f t="shared" si="6"/>
        <v>0</v>
      </c>
      <c r="J78" s="49">
        <v>0</v>
      </c>
      <c r="K78" s="49">
        <v>0</v>
      </c>
      <c r="L78" s="49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2">
        <f t="shared" si="7"/>
        <v>0</v>
      </c>
      <c r="S78" s="41">
        <f t="shared" si="8"/>
        <v>690</v>
      </c>
      <c r="T78" s="51">
        <f>IFERROR(VLOOKUP(B78,[1]月分析表!$A$9:$AT$78,44,0),0)+IFERROR(VLOOKUP(B78,[1]月分析表!$A$9:$AU$78,46,0),0)+S78+C78</f>
        <v>746</v>
      </c>
      <c r="U78" s="43">
        <f t="shared" ref="U78:U86" si="10">T78</f>
        <v>746</v>
      </c>
    </row>
    <row r="79" ht="15" spans="1:21">
      <c r="A79" s="47"/>
      <c r="B79" s="46" t="s">
        <v>104</v>
      </c>
      <c r="C79" s="55">
        <v>6696</v>
      </c>
      <c r="D79" s="55">
        <v>32788</v>
      </c>
      <c r="E79" s="55">
        <v>1191</v>
      </c>
      <c r="F79" s="55">
        <v>25</v>
      </c>
      <c r="G79" s="55">
        <v>647</v>
      </c>
      <c r="H79" s="55">
        <v>0</v>
      </c>
      <c r="I79" s="41">
        <f t="shared" si="6"/>
        <v>672</v>
      </c>
      <c r="J79" s="40">
        <v>5448</v>
      </c>
      <c r="K79" s="40">
        <v>1387</v>
      </c>
      <c r="L79" s="40">
        <v>292</v>
      </c>
      <c r="M79" s="40">
        <v>270</v>
      </c>
      <c r="N79" s="40">
        <v>1656</v>
      </c>
      <c r="O79" s="40">
        <v>0</v>
      </c>
      <c r="P79" s="40">
        <v>29</v>
      </c>
      <c r="Q79" s="40">
        <v>11</v>
      </c>
      <c r="R79" s="42">
        <f t="shared" si="7"/>
        <v>9093</v>
      </c>
      <c r="S79" s="41">
        <f t="shared" si="8"/>
        <v>43744</v>
      </c>
      <c r="T79" s="42">
        <f>IFERROR(VLOOKUP(B79,[1]月分析表!$A$9:$AT$120,44,0),0)+IFERROR(VLOOKUP(B79,[1]月分析表!$A$9:$AU$120,46,0),0)</f>
        <v>0</v>
      </c>
      <c r="U79" s="43">
        <f>S79+C79+T79</f>
        <v>50440</v>
      </c>
    </row>
    <row r="80" ht="15" spans="1:21">
      <c r="A80" s="59"/>
      <c r="B80" s="59" t="s">
        <v>105</v>
      </c>
      <c r="C80" s="55">
        <v>0</v>
      </c>
      <c r="D80" s="55">
        <v>28</v>
      </c>
      <c r="E80" s="55">
        <v>0</v>
      </c>
      <c r="F80" s="55">
        <v>0</v>
      </c>
      <c r="G80" s="55">
        <v>0</v>
      </c>
      <c r="H80" s="55">
        <v>0</v>
      </c>
      <c r="I80" s="41">
        <f t="shared" si="6"/>
        <v>0</v>
      </c>
      <c r="J80" s="40">
        <v>1</v>
      </c>
      <c r="K80" s="40">
        <v>1</v>
      </c>
      <c r="L80" s="40">
        <v>0</v>
      </c>
      <c r="M80" s="40">
        <v>0</v>
      </c>
      <c r="N80" s="40">
        <v>1</v>
      </c>
      <c r="O80" s="40">
        <v>0</v>
      </c>
      <c r="P80" s="40">
        <v>0</v>
      </c>
      <c r="Q80" s="40">
        <v>0</v>
      </c>
      <c r="R80" s="42">
        <f t="shared" si="7"/>
        <v>3</v>
      </c>
      <c r="S80" s="41">
        <f t="shared" si="8"/>
        <v>31</v>
      </c>
      <c r="T80" s="42">
        <f>IFERROR(VLOOKUP(B80,[1]月分析表!$A$9:$AT$120,44,0),0)+IFERROR(VLOOKUP(B80,[1]月分析表!$A$9:$AU$120,46,0),0)</f>
        <v>0</v>
      </c>
      <c r="U80" s="43">
        <f>S80+C80+T80</f>
        <v>31</v>
      </c>
    </row>
    <row r="81" spans="1:21">
      <c r="A81" s="60"/>
      <c r="B81" s="60" t="s">
        <v>106</v>
      </c>
      <c r="C81" s="61"/>
      <c r="D81" s="61"/>
      <c r="E81" s="61"/>
      <c r="F81" s="61"/>
      <c r="G81" s="61"/>
      <c r="H81" s="61"/>
      <c r="I81" s="62">
        <f t="shared" si="6"/>
        <v>0</v>
      </c>
      <c r="J81" s="61"/>
      <c r="K81" s="61"/>
      <c r="L81" s="61"/>
      <c r="M81" s="61"/>
      <c r="N81" s="61"/>
      <c r="O81" s="61"/>
      <c r="P81" s="61"/>
      <c r="Q81" s="61"/>
      <c r="R81" s="42">
        <f t="shared" si="7"/>
        <v>0</v>
      </c>
      <c r="S81" s="41">
        <f t="shared" si="8"/>
        <v>0</v>
      </c>
      <c r="T81" s="63">
        <f>IFERROR(VLOOKUP(B81,[1]月分析表!$A$9:$AT$120,44,0),0)+IFERROR(VLOOKUP(B81,[1]月分析表!$A$9:$AU$120,46,0),0)+S81+C81</f>
        <v>0</v>
      </c>
      <c r="U81" s="43">
        <f t="shared" si="10"/>
        <v>0</v>
      </c>
    </row>
    <row r="82" ht="15" spans="1:21">
      <c r="A82" s="55"/>
      <c r="B82" s="64" t="s">
        <v>107</v>
      </c>
      <c r="C82" s="61"/>
      <c r="D82" s="61"/>
      <c r="E82" s="61"/>
      <c r="F82" s="61"/>
      <c r="G82" s="61"/>
      <c r="H82" s="61"/>
      <c r="I82" s="62">
        <f t="shared" si="6"/>
        <v>0</v>
      </c>
      <c r="J82" s="61"/>
      <c r="K82" s="61"/>
      <c r="L82" s="61"/>
      <c r="M82" s="61"/>
      <c r="N82" s="61"/>
      <c r="O82" s="61"/>
      <c r="P82" s="61"/>
      <c r="Q82" s="61"/>
      <c r="R82" s="42">
        <f t="shared" si="7"/>
        <v>0</v>
      </c>
      <c r="S82" s="41">
        <f t="shared" si="8"/>
        <v>0</v>
      </c>
      <c r="T82" s="63">
        <f>IFERROR(VLOOKUP(B82,[1]月分析表!$A$9:$AT$120,44,0),0)+IFERROR(VLOOKUP(B82,[1]月分析表!$A$9:$AU$120,46,0),0)+S82+C82</f>
        <v>82</v>
      </c>
      <c r="U82" s="43">
        <f t="shared" si="10"/>
        <v>82</v>
      </c>
    </row>
    <row r="83" ht="15" spans="1:21">
      <c r="A83" s="55"/>
      <c r="B83" s="65" t="s">
        <v>108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/>
      <c r="I83" s="62">
        <f t="shared" si="6"/>
        <v>0</v>
      </c>
      <c r="J83" s="61">
        <v>0</v>
      </c>
      <c r="K83" s="61">
        <v>0</v>
      </c>
      <c r="L83" s="61">
        <v>0</v>
      </c>
      <c r="M83" s="61">
        <v>0</v>
      </c>
      <c r="N83" s="61"/>
      <c r="O83" s="61">
        <v>0</v>
      </c>
      <c r="P83" s="61">
        <v>0</v>
      </c>
      <c r="Q83" s="61">
        <v>0</v>
      </c>
      <c r="R83" s="42">
        <f t="shared" si="7"/>
        <v>0</v>
      </c>
      <c r="S83" s="41">
        <f t="shared" si="8"/>
        <v>0</v>
      </c>
      <c r="T83" s="63">
        <f>IFERROR(VLOOKUP(B83,[1]月分析表!$A$9:$AT$120,44,0),0)+IFERROR(VLOOKUP(B83,[1]月分析表!$A$9:$AU$120,46,0),0)+S83+C83</f>
        <v>0</v>
      </c>
      <c r="U83" s="43">
        <f t="shared" si="10"/>
        <v>0</v>
      </c>
    </row>
    <row r="84" ht="15" spans="1:21">
      <c r="A84" s="55"/>
      <c r="B84" s="64" t="s">
        <v>109</v>
      </c>
      <c r="C84" s="61"/>
      <c r="D84" s="61"/>
      <c r="E84" s="61"/>
      <c r="F84" s="61"/>
      <c r="G84" s="61"/>
      <c r="H84" s="61"/>
      <c r="I84" s="62"/>
      <c r="J84" s="61"/>
      <c r="K84" s="61"/>
      <c r="L84" s="61"/>
      <c r="M84" s="61"/>
      <c r="N84" s="61"/>
      <c r="O84" s="61"/>
      <c r="P84" s="61"/>
      <c r="Q84" s="61"/>
      <c r="R84" s="42"/>
      <c r="S84" s="41"/>
      <c r="T84" s="63">
        <f>IFERROR(VLOOKUP(B84,[1]月分析表!$A$9:$AT$120,44,0),0)+IFERROR(VLOOKUP(B84,[1]月分析表!$A$9:$AU$120,46,0),0)+S84+C84</f>
        <v>0</v>
      </c>
      <c r="U84" s="43">
        <f t="shared" si="10"/>
        <v>0</v>
      </c>
    </row>
    <row r="85" spans="1:21">
      <c r="A85" s="64"/>
      <c r="B85" s="64" t="s">
        <v>110</v>
      </c>
      <c r="C85" s="61"/>
      <c r="D85" s="61"/>
      <c r="E85" s="61"/>
      <c r="F85" s="61"/>
      <c r="G85" s="61"/>
      <c r="H85" s="61"/>
      <c r="I85" s="62"/>
      <c r="J85" s="61"/>
      <c r="K85" s="61"/>
      <c r="L85" s="61"/>
      <c r="M85" s="61"/>
      <c r="N85" s="61"/>
      <c r="O85" s="61"/>
      <c r="P85" s="61"/>
      <c r="Q85" s="61"/>
      <c r="R85" s="42"/>
      <c r="S85" s="41"/>
      <c r="T85" s="63">
        <f>IFERROR(VLOOKUP(B85,[1]月分析表!$A$9:$AT$120,44,0),0)+IFERROR(VLOOKUP(B85,[1]月分析表!$A$9:$AU$120,46,0),0)+S85+C85</f>
        <v>0</v>
      </c>
      <c r="U85" s="43">
        <f t="shared" si="10"/>
        <v>0</v>
      </c>
    </row>
    <row r="86" ht="15" spans="1:21">
      <c r="A86" s="55"/>
      <c r="B86" s="64" t="s">
        <v>111</v>
      </c>
      <c r="C86" s="61"/>
      <c r="D86" s="61"/>
      <c r="E86" s="61"/>
      <c r="F86" s="61"/>
      <c r="G86" s="61"/>
      <c r="H86" s="61"/>
      <c r="I86" s="62">
        <f>SUM(F86:H86)</f>
        <v>0</v>
      </c>
      <c r="J86" s="61"/>
      <c r="K86" s="61"/>
      <c r="L86" s="61"/>
      <c r="M86" s="61"/>
      <c r="N86" s="61"/>
      <c r="O86" s="61"/>
      <c r="P86" s="61"/>
      <c r="Q86" s="61"/>
      <c r="R86" s="42">
        <f>SUM(J86:Q86)</f>
        <v>0</v>
      </c>
      <c r="S86" s="41">
        <f>R86+I86+E86+D86</f>
        <v>0</v>
      </c>
      <c r="T86" s="63">
        <f>IFERROR(VLOOKUP(B86,[1]月分析表!$A$9:$AT$120,44,0),0)+IFERROR(VLOOKUP(B86,[1]月分析表!$A$9:$AU$120,46,0),0)+S86+C86</f>
        <v>2160</v>
      </c>
      <c r="U86" s="43">
        <f t="shared" si="10"/>
        <v>2160</v>
      </c>
    </row>
    <row r="87" ht="15" spans="1:21">
      <c r="A87" s="55"/>
      <c r="B87" s="66" t="s">
        <v>112</v>
      </c>
      <c r="C87" s="55"/>
      <c r="D87" s="55">
        <v>3628</v>
      </c>
      <c r="E87" s="55">
        <v>63</v>
      </c>
      <c r="F87" s="55">
        <v>0</v>
      </c>
      <c r="G87" s="55">
        <v>0</v>
      </c>
      <c r="H87" s="55"/>
      <c r="I87" s="41">
        <f>SUM(F87:H87)</f>
        <v>0</v>
      </c>
      <c r="J87" s="40">
        <v>9</v>
      </c>
      <c r="K87" s="40">
        <v>32</v>
      </c>
      <c r="L87" s="40">
        <v>0</v>
      </c>
      <c r="M87" s="40">
        <v>2</v>
      </c>
      <c r="N87" s="40">
        <v>184</v>
      </c>
      <c r="O87" s="40">
        <v>0</v>
      </c>
      <c r="P87" s="40">
        <v>1</v>
      </c>
      <c r="Q87" s="40">
        <v>0</v>
      </c>
      <c r="R87" s="42">
        <f>SUM(J87:Q87)</f>
        <v>228</v>
      </c>
      <c r="S87" s="41">
        <f>R87+I87+E87+D87</f>
        <v>3919</v>
      </c>
      <c r="T87" s="42">
        <f>IFERROR(VLOOKUP(B87,[1]月分析表!$A$9:$AT$120,44,0),0)+IFERROR(VLOOKUP(B87,[1]月分析表!$A$9:$AU$120,46,0),0)</f>
        <v>0</v>
      </c>
      <c r="U87" s="43">
        <f>S87+C87+T87</f>
        <v>3919</v>
      </c>
    </row>
    <row r="88" ht="15" spans="1:21">
      <c r="A88" s="8"/>
      <c r="B88" s="8"/>
      <c r="C88" s="8"/>
      <c r="D88" s="8"/>
      <c r="E88" s="8"/>
      <c r="F88" s="8"/>
      <c r="G88" s="8"/>
      <c r="H88" s="8"/>
      <c r="I88" s="9"/>
      <c r="J88" s="8"/>
      <c r="K88" s="8"/>
      <c r="L88" s="8"/>
      <c r="M88" s="8"/>
      <c r="N88" s="8"/>
      <c r="O88" s="8"/>
      <c r="P88" s="8"/>
      <c r="Q88" s="8"/>
      <c r="R88" s="67"/>
      <c r="S88" s="9"/>
      <c r="T88" s="8"/>
      <c r="U88" s="9"/>
    </row>
    <row r="89" ht="15" spans="1:21">
      <c r="A89" s="8"/>
      <c r="B89" s="8"/>
      <c r="C89" s="8"/>
      <c r="D89" s="68"/>
      <c r="E89" s="8"/>
      <c r="F89" s="8"/>
      <c r="G89" s="8"/>
      <c r="H89" s="8"/>
      <c r="I89" s="9"/>
      <c r="J89" s="8"/>
      <c r="K89" s="8"/>
      <c r="L89" s="8"/>
      <c r="M89" s="8"/>
      <c r="N89" s="8"/>
      <c r="O89" s="8"/>
      <c r="P89" s="8"/>
      <c r="Q89" s="8"/>
      <c r="R89" s="67"/>
      <c r="S89" s="9"/>
      <c r="T89" s="8"/>
      <c r="U89" s="9"/>
    </row>
    <row r="90" ht="15" spans="1:21">
      <c r="A90" s="8"/>
      <c r="B90" s="8"/>
      <c r="C90" s="8"/>
      <c r="D90" s="69" t="s">
        <v>113</v>
      </c>
      <c r="E90" s="8"/>
      <c r="F90" s="8"/>
      <c r="G90" s="8"/>
      <c r="H90" s="8"/>
      <c r="I90" s="9"/>
      <c r="J90" s="8"/>
      <c r="K90" s="8"/>
      <c r="L90" s="8"/>
      <c r="M90" s="8"/>
      <c r="N90" s="8"/>
      <c r="O90" s="8"/>
      <c r="P90" s="8"/>
      <c r="Q90" s="8"/>
      <c r="R90" s="67" t="s">
        <v>114</v>
      </c>
      <c r="S90" s="9"/>
      <c r="T90" s="8"/>
      <c r="U90" s="70"/>
    </row>
    <row r="91" ht="15" spans="1:21">
      <c r="A91" s="8"/>
      <c r="B91" s="8"/>
      <c r="C91" s="8"/>
      <c r="D91" s="69"/>
      <c r="E91" s="8"/>
      <c r="F91" s="8"/>
      <c r="G91" s="8"/>
      <c r="H91" s="8"/>
      <c r="I91" s="9"/>
      <c r="J91" s="8"/>
      <c r="K91" s="8"/>
      <c r="L91" s="8"/>
      <c r="M91" s="8"/>
      <c r="N91" s="8"/>
      <c r="O91" s="8"/>
      <c r="P91" s="8"/>
      <c r="Q91" s="8"/>
      <c r="R91" s="67"/>
      <c r="S91" s="9"/>
      <c r="T91" s="69"/>
      <c r="U91" s="70"/>
    </row>
    <row r="92" ht="15" spans="1:21">
      <c r="A92" s="8"/>
      <c r="B92" s="8"/>
      <c r="C92" s="8"/>
      <c r="D92" s="8"/>
      <c r="E92" s="8"/>
      <c r="F92" s="8"/>
      <c r="G92" s="8"/>
      <c r="H92" s="8"/>
      <c r="I92" s="9"/>
      <c r="J92" s="8"/>
      <c r="K92" s="8"/>
      <c r="L92" s="8"/>
      <c r="M92" s="8"/>
      <c r="N92" s="8"/>
      <c r="O92" s="8"/>
      <c r="P92" s="8"/>
      <c r="Q92" s="8"/>
      <c r="R92" s="67"/>
      <c r="S92" s="9"/>
      <c r="T92" s="8"/>
      <c r="U92" s="9"/>
    </row>
  </sheetData>
  <mergeCells count="20">
    <mergeCell ref="A1:U1"/>
    <mergeCell ref="A2:B2"/>
    <mergeCell ref="D3:S3"/>
    <mergeCell ref="F4:I4"/>
    <mergeCell ref="J4:R4"/>
    <mergeCell ref="A6:B6"/>
    <mergeCell ref="A7:A17"/>
    <mergeCell ref="A18:A26"/>
    <mergeCell ref="A27:A39"/>
    <mergeCell ref="A40:A51"/>
    <mergeCell ref="A52:A61"/>
    <mergeCell ref="A62:A70"/>
    <mergeCell ref="A71:A79"/>
    <mergeCell ref="C3:C5"/>
    <mergeCell ref="D4:D5"/>
    <mergeCell ref="E4:E5"/>
    <mergeCell ref="S4:S5"/>
    <mergeCell ref="T3:T5"/>
    <mergeCell ref="U3:U5"/>
    <mergeCell ref="A3:B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黄亚</cp:lastModifiedBy>
  <dcterms:created xsi:type="dcterms:W3CDTF">2023-05-12T11:15:00Z</dcterms:created>
  <dcterms:modified xsi:type="dcterms:W3CDTF">2026-02-07T04:46:26Z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EB17B0FCE2CC49E288E9AAFB62768575_12</vt:lpwstr>
  </property>
  <property fmtid="{D5CDD505-2E9C-101B-9397-08002B2CF9AE}" pid="4" name="CalculationRule">
    <vt:i4>0</vt:i4>
  </property>
</Properties>
</file>